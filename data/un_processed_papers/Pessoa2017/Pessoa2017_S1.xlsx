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.aff.villosus" sheetId="1" r:id="rId5"/>
    <sheet state="visible" name="A.carbonarius" sheetId="2" r:id="rId6"/>
    <sheet state="visible" name="A.sp." sheetId="3" r:id="rId7"/>
    <sheet state="visible" name="Can.barbacenicum" sheetId="4" r:id="rId8"/>
    <sheet state="visible" name="Can.cuprinu" sheetId="5" r:id="rId9"/>
    <sheet state="visible" name="Can.viride" sheetId="6" r:id="rId10"/>
    <sheet state="visible" name="Can.sp.2" sheetId="7" r:id="rId11"/>
    <sheet state="visible" name="Can.sp.3" sheetId="8" r:id="rId12"/>
    <sheet state="visible" name="Ca.histrio" sheetId="9" r:id="rId13"/>
    <sheet state="visible" name="Ca.lituratus" sheetId="10" r:id="rId14"/>
    <sheet state="visible" name="Ca. maldonadoi" sheetId="11" r:id="rId15"/>
    <sheet state="visible" name="Ca.curvodilatatus" sheetId="12" r:id="rId16"/>
    <sheet state="visible" name="Ca.aff.ornatus" sheetId="13" r:id="rId17"/>
    <sheet state="visible" name="Ca.quinquemaculatus" sheetId="14" r:id="rId18"/>
    <sheet state="visible" name="Ca.daguerrei" sheetId="15" r:id="rId19"/>
    <sheet state="visible" name="C.bonariensis" sheetId="16" r:id="rId20"/>
    <sheet state="visible" name="C.milon" sheetId="17" r:id="rId21"/>
    <sheet state="visible" name="De.elongatum" sheetId="18" r:id="rId22"/>
    <sheet state="visible" name="Di.lycas" sheetId="19" r:id="rId23"/>
    <sheet state="visible" name="Di.nisus" sheetId="20" r:id="rId24"/>
    <sheet state="visible" name="Di.bos" sheetId="21" r:id="rId25"/>
    <sheet state="visible" name="Di.opacipennis" sheetId="22" r:id="rId26"/>
    <sheet state="visible" name="D.gazella" sheetId="23" r:id="rId27"/>
    <sheet state="visible" name="E.caribaeus" sheetId="24" r:id="rId28"/>
    <sheet state="visible" name="E.nigrovirens" sheetId="25" r:id="rId29"/>
    <sheet state="visible" name="Ge.cryptops" sheetId="26" r:id="rId30"/>
    <sheet state="visible" name="G.inermis" sheetId="27" r:id="rId31"/>
    <sheet state="visible" name="M.astyanax" sheetId="28" r:id="rId32"/>
    <sheet state="visible" name="O. appendiculatus" sheetId="29" r:id="rId33"/>
    <sheet state="visible" name="O.digitatus" sheetId="30" r:id="rId34"/>
    <sheet state="visible" name="O.sulcator" sheetId="31" r:id="rId35"/>
    <sheet state="visible" name="On.aff.hirculus" sheetId="32" r:id="rId36"/>
    <sheet state="visible" name="Tr.externepunctatum" sheetId="33" r:id="rId37"/>
    <sheet state="visible" name="T. quadridens" sheetId="34" r:id="rId38"/>
    <sheet state="visible" name="U.aff.corporaali" sheetId="35" r:id="rId39"/>
  </sheets>
  <definedNames/>
  <calcPr/>
</workbook>
</file>

<file path=xl/sharedStrings.xml><?xml version="1.0" encoding="utf-8"?>
<sst xmlns="http://schemas.openxmlformats.org/spreadsheetml/2006/main" count="449" uniqueCount="21">
  <si>
    <t>Indivíduo</t>
  </si>
  <si>
    <t>área da asa</t>
  </si>
  <si>
    <t>comp. do pronoto</t>
  </si>
  <si>
    <t>comp. do élitro</t>
  </si>
  <si>
    <t>alt. do prosterno</t>
  </si>
  <si>
    <t>larg. apical</t>
  </si>
  <si>
    <t>comp. tibia média</t>
  </si>
  <si>
    <t>area tibia anterior</t>
  </si>
  <si>
    <t>tamanho</t>
  </si>
  <si>
    <t>razão alar</t>
  </si>
  <si>
    <t>razão tibial</t>
  </si>
  <si>
    <t>Média</t>
  </si>
  <si>
    <t>Desvio Padrão</t>
  </si>
  <si>
    <t>media</t>
  </si>
  <si>
    <t>desvpad</t>
  </si>
  <si>
    <t>Desv</t>
  </si>
  <si>
    <t>D.P</t>
  </si>
  <si>
    <t>desvio</t>
  </si>
  <si>
    <t>desv.pad</t>
  </si>
  <si>
    <t>Media</t>
  </si>
  <si>
    <t>Desvio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</si>
</sst>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2" xfId="0" applyAlignment="1" applyFont="1" applyNumberFormat="1">
      <alignment shrinkToFit="0" vertical="bottom" wrapText="0"/>
    </xf>
    <xf borderId="0" fillId="0" fontId="3" numFmtId="4" xfId="0" applyAlignment="1" applyFont="1" applyNumberFormat="1">
      <alignment shrinkToFit="0" vertical="bottom" wrapText="0"/>
    </xf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14.653</v>
      </c>
      <c r="C2" s="3">
        <v>2.056</v>
      </c>
      <c r="D2" s="3">
        <v>3.811</v>
      </c>
      <c r="E2" s="3">
        <v>1.991</v>
      </c>
      <c r="F2" s="3">
        <v>0.217</v>
      </c>
      <c r="G2" s="3">
        <v>1.618</v>
      </c>
      <c r="H2" s="3">
        <v>0.543</v>
      </c>
      <c r="I2" s="3">
        <f t="shared" ref="I2:I6" si="1">C2+D2</f>
        <v>5.867</v>
      </c>
      <c r="J2" s="3">
        <f t="shared" ref="J2:J6" si="2">B2/I2</f>
        <v>2.49752855</v>
      </c>
      <c r="K2" s="3">
        <f t="shared" ref="K2:K6" si="3">F2/G2</f>
        <v>0.1341161928</v>
      </c>
    </row>
    <row r="3">
      <c r="A3" s="2">
        <v>2.0</v>
      </c>
      <c r="B3" s="3">
        <v>14.199</v>
      </c>
      <c r="C3" s="3">
        <v>2.36</v>
      </c>
      <c r="D3" s="3">
        <v>3.34</v>
      </c>
      <c r="E3" s="3">
        <v>2.03</v>
      </c>
      <c r="F3" s="3">
        <v>0.258</v>
      </c>
      <c r="G3" s="3">
        <v>1.656</v>
      </c>
      <c r="H3" s="3">
        <v>0.555</v>
      </c>
      <c r="I3" s="3">
        <f t="shared" si="1"/>
        <v>5.7</v>
      </c>
      <c r="J3" s="3">
        <f t="shared" si="2"/>
        <v>2.491052632</v>
      </c>
      <c r="K3" s="3">
        <f t="shared" si="3"/>
        <v>0.1557971014</v>
      </c>
    </row>
    <row r="4">
      <c r="A4" s="2">
        <v>3.0</v>
      </c>
      <c r="B4" s="3">
        <v>13.046</v>
      </c>
      <c r="C4" s="3">
        <v>2.56</v>
      </c>
      <c r="D4" s="3">
        <v>3.071</v>
      </c>
      <c r="E4" s="3">
        <v>2.144</v>
      </c>
      <c r="F4" s="3">
        <v>0.184</v>
      </c>
      <c r="G4" s="3">
        <v>1.708</v>
      </c>
      <c r="H4" s="3">
        <v>0.658</v>
      </c>
      <c r="I4" s="3">
        <f t="shared" si="1"/>
        <v>5.631</v>
      </c>
      <c r="J4" s="3">
        <f t="shared" si="2"/>
        <v>2.316817617</v>
      </c>
      <c r="K4" s="3">
        <f t="shared" si="3"/>
        <v>0.1077283372</v>
      </c>
    </row>
    <row r="5">
      <c r="A5" s="2">
        <v>4.0</v>
      </c>
      <c r="B5" s="3">
        <v>12.587</v>
      </c>
      <c r="C5" s="3">
        <v>2.057</v>
      </c>
      <c r="D5" s="3">
        <v>3.573</v>
      </c>
      <c r="E5" s="3">
        <v>1.767</v>
      </c>
      <c r="F5" s="3">
        <v>0.288</v>
      </c>
      <c r="G5" s="3">
        <v>1.576</v>
      </c>
      <c r="H5" s="3">
        <v>0.51</v>
      </c>
      <c r="I5" s="3">
        <f t="shared" si="1"/>
        <v>5.63</v>
      </c>
      <c r="J5" s="3">
        <f t="shared" si="2"/>
        <v>2.235701599</v>
      </c>
      <c r="K5" s="3">
        <f t="shared" si="3"/>
        <v>0.1827411168</v>
      </c>
    </row>
    <row r="6">
      <c r="A6" s="2">
        <v>5.0</v>
      </c>
      <c r="B6" s="3">
        <v>14.456</v>
      </c>
      <c r="C6" s="3">
        <v>2.187</v>
      </c>
      <c r="D6" s="3">
        <v>3.194</v>
      </c>
      <c r="E6" s="3">
        <v>1.817</v>
      </c>
      <c r="F6" s="3">
        <v>0.319</v>
      </c>
      <c r="G6" s="3">
        <v>1.629</v>
      </c>
      <c r="H6" s="3">
        <v>0.657</v>
      </c>
      <c r="I6" s="3">
        <f t="shared" si="1"/>
        <v>5.381</v>
      </c>
      <c r="J6" s="3">
        <f t="shared" si="2"/>
        <v>2.6864895</v>
      </c>
      <c r="K6" s="3">
        <f t="shared" si="3"/>
        <v>0.1958256599</v>
      </c>
    </row>
    <row r="7">
      <c r="A7" s="2" t="s">
        <v>11</v>
      </c>
      <c r="B7" s="3">
        <f t="shared" ref="B7:K7" si="4">AVERAGE(B2:B6)</f>
        <v>13.7882</v>
      </c>
      <c r="C7" s="3">
        <f t="shared" si="4"/>
        <v>2.244</v>
      </c>
      <c r="D7" s="3">
        <f t="shared" si="4"/>
        <v>3.3978</v>
      </c>
      <c r="E7" s="3">
        <f t="shared" si="4"/>
        <v>1.9498</v>
      </c>
      <c r="F7" s="3">
        <f t="shared" si="4"/>
        <v>0.2532</v>
      </c>
      <c r="G7" s="3">
        <f t="shared" si="4"/>
        <v>1.6374</v>
      </c>
      <c r="H7" s="3">
        <f t="shared" si="4"/>
        <v>0.5846</v>
      </c>
      <c r="I7" s="3">
        <f t="shared" si="4"/>
        <v>5.6418</v>
      </c>
      <c r="J7" s="3">
        <f t="shared" si="4"/>
        <v>2.445517979</v>
      </c>
      <c r="K7" s="3">
        <f t="shared" si="4"/>
        <v>0.1552416816</v>
      </c>
    </row>
    <row r="8">
      <c r="A8" s="2" t="s">
        <v>12</v>
      </c>
      <c r="B8" s="3">
        <f t="shared" ref="B8:K8" si="5">STDEV(B2:B6)</f>
        <v>0.91601512</v>
      </c>
      <c r="C8" s="3">
        <f t="shared" si="5"/>
        <v>0.2161446275</v>
      </c>
      <c r="D8" s="3">
        <f t="shared" si="5"/>
        <v>0.2971122683</v>
      </c>
      <c r="E8" s="3">
        <f t="shared" si="5"/>
        <v>0.1556396479</v>
      </c>
      <c r="F8" s="3">
        <f t="shared" si="5"/>
        <v>0.05399722215</v>
      </c>
      <c r="G8" s="3">
        <f t="shared" si="5"/>
        <v>0.04885488717</v>
      </c>
      <c r="H8" s="3">
        <f t="shared" si="5"/>
        <v>0.06855873394</v>
      </c>
      <c r="I8" s="3">
        <f t="shared" si="5"/>
        <v>0.1749105486</v>
      </c>
      <c r="J8" s="3">
        <f t="shared" si="5"/>
        <v>0.1756647907</v>
      </c>
      <c r="K8" s="3">
        <f t="shared" si="5"/>
        <v>0.03573300606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18.229</v>
      </c>
      <c r="C2" s="3">
        <v>2.311</v>
      </c>
      <c r="D2" s="3">
        <v>2.746</v>
      </c>
      <c r="E2" s="3">
        <v>1.927</v>
      </c>
      <c r="F2" s="3">
        <v>0.61</v>
      </c>
      <c r="G2" s="3">
        <v>1.208</v>
      </c>
      <c r="H2" s="3">
        <v>0.498</v>
      </c>
      <c r="I2" s="3">
        <f t="shared" ref="I2:I30" si="1">C2+D2</f>
        <v>5.057</v>
      </c>
      <c r="J2" s="3">
        <f t="shared" ref="J2:J30" si="2">B2/I2</f>
        <v>3.604706348</v>
      </c>
      <c r="K2" s="3">
        <f t="shared" ref="K2:K30" si="3">F2/G2</f>
        <v>0.5049668874</v>
      </c>
    </row>
    <row r="3">
      <c r="A3" s="2">
        <v>2.0</v>
      </c>
      <c r="B3" s="3">
        <v>15.228</v>
      </c>
      <c r="C3" s="3">
        <v>2.036</v>
      </c>
      <c r="D3" s="3">
        <v>2.912</v>
      </c>
      <c r="E3" s="3">
        <v>2.367</v>
      </c>
      <c r="F3" s="3">
        <v>0.559</v>
      </c>
      <c r="G3" s="3">
        <v>1.113</v>
      </c>
      <c r="H3" s="3">
        <v>0.473</v>
      </c>
      <c r="I3" s="3">
        <f t="shared" si="1"/>
        <v>4.948</v>
      </c>
      <c r="J3" s="3">
        <f t="shared" si="2"/>
        <v>3.077607114</v>
      </c>
      <c r="K3" s="3">
        <f t="shared" si="3"/>
        <v>0.5022461815</v>
      </c>
    </row>
    <row r="4">
      <c r="A4" s="2">
        <v>4.0</v>
      </c>
      <c r="B4" s="3">
        <v>11.385</v>
      </c>
      <c r="C4" s="3">
        <v>1.98</v>
      </c>
      <c r="D4" s="3">
        <v>2.618</v>
      </c>
      <c r="E4" s="3">
        <v>1.975</v>
      </c>
      <c r="F4" s="3">
        <v>0.477</v>
      </c>
      <c r="G4" s="3">
        <v>0.949</v>
      </c>
      <c r="H4" s="3">
        <v>0.38</v>
      </c>
      <c r="I4" s="3">
        <f t="shared" si="1"/>
        <v>4.598</v>
      </c>
      <c r="J4" s="3">
        <f t="shared" si="2"/>
        <v>2.476076555</v>
      </c>
      <c r="K4" s="3">
        <f t="shared" si="3"/>
        <v>0.5026343519</v>
      </c>
    </row>
    <row r="5">
      <c r="A5" s="2">
        <v>5.0</v>
      </c>
      <c r="B5" s="3">
        <v>12.917</v>
      </c>
      <c r="C5" s="3">
        <v>1.851</v>
      </c>
      <c r="D5" s="3">
        <v>2.884</v>
      </c>
      <c r="E5" s="3">
        <v>2.123</v>
      </c>
      <c r="F5" s="3">
        <v>0.529</v>
      </c>
      <c r="G5" s="3">
        <v>0.941</v>
      </c>
      <c r="H5" s="3">
        <v>0.325</v>
      </c>
      <c r="I5" s="3">
        <f t="shared" si="1"/>
        <v>4.735</v>
      </c>
      <c r="J5" s="3">
        <f t="shared" si="2"/>
        <v>2.727983105</v>
      </c>
      <c r="K5" s="3">
        <f t="shared" si="3"/>
        <v>0.5621679065</v>
      </c>
    </row>
    <row r="6">
      <c r="A6" s="2">
        <v>6.0</v>
      </c>
      <c r="B6" s="3">
        <v>15.348</v>
      </c>
      <c r="C6" s="3">
        <v>1.853</v>
      </c>
      <c r="D6" s="3">
        <v>3.439</v>
      </c>
      <c r="E6" s="3">
        <v>2.382</v>
      </c>
      <c r="F6" s="3">
        <v>0.604</v>
      </c>
      <c r="G6" s="3">
        <v>1.09</v>
      </c>
      <c r="H6" s="3">
        <v>0.412</v>
      </c>
      <c r="I6" s="3">
        <f t="shared" si="1"/>
        <v>5.292</v>
      </c>
      <c r="J6" s="3">
        <f t="shared" si="2"/>
        <v>2.900226757</v>
      </c>
      <c r="K6" s="3">
        <f t="shared" si="3"/>
        <v>0.5541284404</v>
      </c>
    </row>
    <row r="7">
      <c r="A7" s="2">
        <v>7.0</v>
      </c>
      <c r="B7" s="3">
        <v>15.243</v>
      </c>
      <c r="C7" s="3">
        <v>1.979</v>
      </c>
      <c r="D7" s="3">
        <v>3.099</v>
      </c>
      <c r="E7" s="3">
        <v>2.776</v>
      </c>
      <c r="F7" s="3">
        <v>0.489</v>
      </c>
      <c r="G7" s="3">
        <v>0.924</v>
      </c>
      <c r="H7" s="3">
        <v>0.317</v>
      </c>
      <c r="I7" s="3">
        <f t="shared" si="1"/>
        <v>5.078</v>
      </c>
      <c r="J7" s="3">
        <f t="shared" si="2"/>
        <v>3.001772351</v>
      </c>
      <c r="K7" s="3">
        <f t="shared" si="3"/>
        <v>0.5292207792</v>
      </c>
    </row>
    <row r="8">
      <c r="A8" s="2">
        <v>8.0</v>
      </c>
      <c r="B8" s="3">
        <v>17.267</v>
      </c>
      <c r="C8" s="3">
        <v>2.226</v>
      </c>
      <c r="D8" s="3">
        <v>3.297</v>
      </c>
      <c r="E8" s="3">
        <v>1.95</v>
      </c>
      <c r="F8" s="3">
        <v>0.595</v>
      </c>
      <c r="G8" s="3">
        <v>1.22</v>
      </c>
      <c r="H8" s="3">
        <v>0.404</v>
      </c>
      <c r="I8" s="3">
        <f t="shared" si="1"/>
        <v>5.523</v>
      </c>
      <c r="J8" s="3">
        <f t="shared" si="2"/>
        <v>3.12638059</v>
      </c>
      <c r="K8" s="3">
        <f t="shared" si="3"/>
        <v>0.487704918</v>
      </c>
    </row>
    <row r="9">
      <c r="A9" s="2">
        <v>9.0</v>
      </c>
      <c r="B9" s="3">
        <v>15.518</v>
      </c>
      <c r="C9" s="3">
        <v>1.975</v>
      </c>
      <c r="D9" s="3">
        <v>3.346</v>
      </c>
      <c r="E9" s="3">
        <v>2.162</v>
      </c>
      <c r="F9" s="3">
        <v>0.579</v>
      </c>
      <c r="G9" s="3">
        <v>1.059</v>
      </c>
      <c r="H9" s="3">
        <v>0.517</v>
      </c>
      <c r="I9" s="3">
        <f t="shared" si="1"/>
        <v>5.321</v>
      </c>
      <c r="J9" s="3">
        <f t="shared" si="2"/>
        <v>2.916369104</v>
      </c>
      <c r="K9" s="3">
        <f t="shared" si="3"/>
        <v>0.5467422096</v>
      </c>
    </row>
    <row r="10">
      <c r="A10" s="2">
        <v>10.0</v>
      </c>
      <c r="B10" s="4">
        <v>16.97</v>
      </c>
      <c r="C10" s="4">
        <v>1.903</v>
      </c>
      <c r="D10" s="4">
        <v>3.271</v>
      </c>
      <c r="E10" s="4">
        <v>2.01</v>
      </c>
      <c r="F10" s="4">
        <v>0.481</v>
      </c>
      <c r="G10" s="4">
        <v>1.104</v>
      </c>
      <c r="H10" s="4">
        <v>0.395</v>
      </c>
      <c r="I10" s="3">
        <f t="shared" si="1"/>
        <v>5.174</v>
      </c>
      <c r="J10" s="3">
        <f t="shared" si="2"/>
        <v>3.279860843</v>
      </c>
      <c r="K10" s="3">
        <f t="shared" si="3"/>
        <v>0.4356884058</v>
      </c>
    </row>
    <row r="11">
      <c r="A11" s="2">
        <v>11.0</v>
      </c>
      <c r="B11" s="4">
        <v>13.66</v>
      </c>
      <c r="C11" s="4">
        <v>1.862</v>
      </c>
      <c r="D11" s="4">
        <v>3.167</v>
      </c>
      <c r="E11" s="4">
        <v>2.321</v>
      </c>
      <c r="F11" s="4">
        <v>0.511</v>
      </c>
      <c r="G11" s="4">
        <v>0.911</v>
      </c>
      <c r="H11" s="4">
        <v>0.329</v>
      </c>
      <c r="I11" s="3">
        <f t="shared" si="1"/>
        <v>5.029</v>
      </c>
      <c r="J11" s="3">
        <f t="shared" si="2"/>
        <v>2.716245775</v>
      </c>
      <c r="K11" s="3">
        <f t="shared" si="3"/>
        <v>0.5609220637</v>
      </c>
    </row>
    <row r="12">
      <c r="A12" s="2">
        <v>12.0</v>
      </c>
      <c r="B12" s="4">
        <v>20.482</v>
      </c>
      <c r="C12" s="4">
        <v>2.117</v>
      </c>
      <c r="D12" s="4">
        <v>3.263</v>
      </c>
      <c r="E12" s="4">
        <v>2.348</v>
      </c>
      <c r="F12" s="4">
        <v>0.419</v>
      </c>
      <c r="G12" s="4">
        <v>1.256</v>
      </c>
      <c r="H12" s="4">
        <v>0.471</v>
      </c>
      <c r="I12" s="3">
        <f t="shared" si="1"/>
        <v>5.38</v>
      </c>
      <c r="J12" s="3">
        <f t="shared" si="2"/>
        <v>3.807063197</v>
      </c>
      <c r="K12" s="3">
        <f t="shared" si="3"/>
        <v>0.3335987261</v>
      </c>
    </row>
    <row r="13">
      <c r="A13" s="2">
        <v>13.0</v>
      </c>
      <c r="B13" s="4">
        <v>16.624</v>
      </c>
      <c r="C13" s="4">
        <v>2.081</v>
      </c>
      <c r="D13" s="4">
        <v>3.413</v>
      </c>
      <c r="E13" s="4">
        <v>2.4</v>
      </c>
      <c r="F13" s="4">
        <v>0.57</v>
      </c>
      <c r="G13" s="4">
        <v>0.999</v>
      </c>
      <c r="H13" s="4">
        <v>0.387</v>
      </c>
      <c r="I13" s="3">
        <f t="shared" si="1"/>
        <v>5.494</v>
      </c>
      <c r="J13" s="3">
        <f t="shared" si="2"/>
        <v>3.025846378</v>
      </c>
      <c r="K13" s="3">
        <f t="shared" si="3"/>
        <v>0.5705705706</v>
      </c>
    </row>
    <row r="14">
      <c r="A14" s="2">
        <v>14.0</v>
      </c>
      <c r="B14" s="4">
        <v>14.317</v>
      </c>
      <c r="C14" s="4">
        <v>1.801</v>
      </c>
      <c r="D14" s="4">
        <v>2.888</v>
      </c>
      <c r="E14" s="4">
        <v>2.154</v>
      </c>
      <c r="F14" s="4">
        <v>0.561</v>
      </c>
      <c r="G14" s="4">
        <v>1.142</v>
      </c>
      <c r="H14" s="4">
        <v>0.403</v>
      </c>
      <c r="I14" s="3">
        <f t="shared" si="1"/>
        <v>4.689</v>
      </c>
      <c r="J14" s="3">
        <f t="shared" si="2"/>
        <v>3.053316272</v>
      </c>
      <c r="K14" s="3">
        <f t="shared" si="3"/>
        <v>0.4912434326</v>
      </c>
    </row>
    <row r="15">
      <c r="A15" s="2">
        <v>15.0</v>
      </c>
      <c r="B15" s="4">
        <v>15.602</v>
      </c>
      <c r="C15" s="4">
        <v>1.842</v>
      </c>
      <c r="D15" s="4">
        <v>3.315</v>
      </c>
      <c r="E15" s="4">
        <v>1.937</v>
      </c>
      <c r="F15" s="4">
        <v>0.439</v>
      </c>
      <c r="G15" s="4">
        <v>0.955</v>
      </c>
      <c r="H15" s="4">
        <v>0.372</v>
      </c>
      <c r="I15" s="3">
        <f t="shared" si="1"/>
        <v>5.157</v>
      </c>
      <c r="J15" s="3">
        <f t="shared" si="2"/>
        <v>3.025402366</v>
      </c>
      <c r="K15" s="3">
        <f t="shared" si="3"/>
        <v>0.4596858639</v>
      </c>
    </row>
    <row r="16">
      <c r="A16" s="2">
        <v>16.0</v>
      </c>
      <c r="B16" s="4">
        <v>17.543</v>
      </c>
      <c r="C16" s="4">
        <v>2.309</v>
      </c>
      <c r="D16" s="4">
        <v>2.883</v>
      </c>
      <c r="E16" s="4">
        <v>2.044</v>
      </c>
      <c r="F16" s="4">
        <v>0.544</v>
      </c>
      <c r="G16" s="4">
        <v>1.28</v>
      </c>
      <c r="H16" s="4">
        <v>0.52</v>
      </c>
      <c r="I16" s="3">
        <f t="shared" si="1"/>
        <v>5.192</v>
      </c>
      <c r="J16" s="3">
        <f t="shared" si="2"/>
        <v>3.37885208</v>
      </c>
      <c r="K16" s="3">
        <f t="shared" si="3"/>
        <v>0.425</v>
      </c>
    </row>
    <row r="17">
      <c r="A17" s="2">
        <v>17.0</v>
      </c>
      <c r="B17" s="4">
        <v>17.333</v>
      </c>
      <c r="C17" s="4">
        <v>1.891</v>
      </c>
      <c r="D17" s="4">
        <v>3.201</v>
      </c>
      <c r="E17" s="4">
        <v>2.178</v>
      </c>
      <c r="F17" s="4">
        <v>0.491</v>
      </c>
      <c r="G17" s="4">
        <v>1.206</v>
      </c>
      <c r="H17" s="4">
        <v>0.454</v>
      </c>
      <c r="I17" s="3">
        <f t="shared" si="1"/>
        <v>5.092</v>
      </c>
      <c r="J17" s="3">
        <f t="shared" si="2"/>
        <v>3.403967007</v>
      </c>
      <c r="K17" s="3">
        <f t="shared" si="3"/>
        <v>0.4071310116</v>
      </c>
    </row>
    <row r="18">
      <c r="A18" s="2">
        <v>18.0</v>
      </c>
      <c r="B18" s="4">
        <v>18.317</v>
      </c>
      <c r="C18" s="4">
        <v>1.978</v>
      </c>
      <c r="D18" s="4">
        <v>3.482</v>
      </c>
      <c r="E18" s="4">
        <v>2.211</v>
      </c>
      <c r="F18" s="4">
        <v>0.577</v>
      </c>
      <c r="G18" s="4">
        <v>1.269</v>
      </c>
      <c r="H18" s="4">
        <v>0.578</v>
      </c>
      <c r="I18" s="3">
        <f t="shared" si="1"/>
        <v>5.46</v>
      </c>
      <c r="J18" s="3">
        <f t="shared" si="2"/>
        <v>3.354761905</v>
      </c>
      <c r="K18" s="3">
        <f t="shared" si="3"/>
        <v>0.4546887313</v>
      </c>
    </row>
    <row r="19">
      <c r="A19" s="2">
        <v>19.0</v>
      </c>
      <c r="B19" s="4">
        <v>15.791</v>
      </c>
      <c r="C19" s="4">
        <v>2.166</v>
      </c>
      <c r="D19" s="4">
        <v>3.048</v>
      </c>
      <c r="E19" s="4">
        <v>2.022</v>
      </c>
      <c r="F19" s="4">
        <v>0.574</v>
      </c>
      <c r="G19" s="4">
        <v>1.2041</v>
      </c>
      <c r="H19" s="4">
        <v>0.566</v>
      </c>
      <c r="I19" s="3">
        <f t="shared" si="1"/>
        <v>5.214</v>
      </c>
      <c r="J19" s="3">
        <f t="shared" si="2"/>
        <v>3.028576908</v>
      </c>
      <c r="K19" s="3">
        <f t="shared" si="3"/>
        <v>0.4767045926</v>
      </c>
    </row>
    <row r="20">
      <c r="A20" s="2">
        <v>20.0</v>
      </c>
      <c r="B20" s="4">
        <v>19.539</v>
      </c>
      <c r="C20" s="4">
        <v>2.176</v>
      </c>
      <c r="D20" s="4">
        <v>3.35</v>
      </c>
      <c r="E20" s="4">
        <v>2.196</v>
      </c>
      <c r="F20" s="4">
        <v>0.678</v>
      </c>
      <c r="G20" s="4">
        <v>1.2743</v>
      </c>
      <c r="H20" s="4">
        <v>0.576</v>
      </c>
      <c r="I20" s="3">
        <f t="shared" si="1"/>
        <v>5.526</v>
      </c>
      <c r="J20" s="3">
        <f t="shared" si="2"/>
        <v>3.535830619</v>
      </c>
      <c r="K20" s="3">
        <f t="shared" si="3"/>
        <v>0.5320568155</v>
      </c>
    </row>
    <row r="21" ht="15.75" customHeight="1">
      <c r="A21" s="2">
        <v>21.0</v>
      </c>
      <c r="B21" s="4">
        <v>18.025</v>
      </c>
      <c r="C21" s="4">
        <v>2.094</v>
      </c>
      <c r="D21" s="4">
        <v>3.296</v>
      </c>
      <c r="E21" s="4">
        <v>2.242</v>
      </c>
      <c r="F21" s="4">
        <v>0.547</v>
      </c>
      <c r="G21" s="4">
        <v>1.105</v>
      </c>
      <c r="H21" s="4">
        <v>0.594</v>
      </c>
      <c r="I21" s="3">
        <f t="shared" si="1"/>
        <v>5.39</v>
      </c>
      <c r="J21" s="3">
        <f t="shared" si="2"/>
        <v>3.344155844</v>
      </c>
      <c r="K21" s="3">
        <f t="shared" si="3"/>
        <v>0.4950226244</v>
      </c>
    </row>
    <row r="22" ht="15.75" customHeight="1">
      <c r="A22" s="2">
        <v>22.0</v>
      </c>
      <c r="B22" s="4">
        <v>16.643</v>
      </c>
      <c r="C22" s="4">
        <v>2.26</v>
      </c>
      <c r="D22" s="4">
        <v>3.218</v>
      </c>
      <c r="E22" s="4">
        <v>2.239</v>
      </c>
      <c r="F22" s="4">
        <v>0.624</v>
      </c>
      <c r="G22" s="4">
        <v>1.203</v>
      </c>
      <c r="H22" s="4">
        <v>0.511</v>
      </c>
      <c r="I22" s="3">
        <f t="shared" si="1"/>
        <v>5.478</v>
      </c>
      <c r="J22" s="3">
        <f t="shared" si="2"/>
        <v>3.03815261</v>
      </c>
      <c r="K22" s="3">
        <f t="shared" si="3"/>
        <v>0.5187032419</v>
      </c>
    </row>
    <row r="23" ht="15.75" customHeight="1">
      <c r="A23" s="2">
        <v>23.0</v>
      </c>
      <c r="B23" s="4">
        <v>15.869</v>
      </c>
      <c r="C23" s="4">
        <v>2.112</v>
      </c>
      <c r="D23" s="4">
        <v>3.371</v>
      </c>
      <c r="E23" s="4">
        <v>1.965</v>
      </c>
      <c r="F23" s="4">
        <v>0.622</v>
      </c>
      <c r="G23" s="4">
        <v>1.169</v>
      </c>
      <c r="H23" s="4">
        <v>0.419</v>
      </c>
      <c r="I23" s="3">
        <f t="shared" si="1"/>
        <v>5.483</v>
      </c>
      <c r="J23" s="3">
        <f t="shared" si="2"/>
        <v>2.894218494</v>
      </c>
      <c r="K23" s="3">
        <f t="shared" si="3"/>
        <v>0.5320786997</v>
      </c>
    </row>
    <row r="24" ht="15.75" customHeight="1">
      <c r="A24" s="2">
        <v>24.0</v>
      </c>
      <c r="B24" s="4">
        <v>15.841</v>
      </c>
      <c r="C24" s="4">
        <v>2.059</v>
      </c>
      <c r="D24" s="4">
        <v>3.303</v>
      </c>
      <c r="E24" s="4">
        <v>2.243</v>
      </c>
      <c r="F24" s="4">
        <v>0.58</v>
      </c>
      <c r="G24" s="4">
        <v>1.242</v>
      </c>
      <c r="H24" s="4">
        <v>0.524</v>
      </c>
      <c r="I24" s="3">
        <f t="shared" si="1"/>
        <v>5.362</v>
      </c>
      <c r="J24" s="3">
        <f t="shared" si="2"/>
        <v>2.954308094</v>
      </c>
      <c r="K24" s="3">
        <f t="shared" si="3"/>
        <v>0.4669887279</v>
      </c>
    </row>
    <row r="25" ht="15.75" customHeight="1">
      <c r="A25" s="2">
        <v>25.0</v>
      </c>
      <c r="B25" s="4">
        <v>18.313</v>
      </c>
      <c r="C25" s="4">
        <v>2.156</v>
      </c>
      <c r="D25" s="4">
        <v>3.196</v>
      </c>
      <c r="E25" s="4">
        <v>2.504</v>
      </c>
      <c r="F25" s="4">
        <v>0.676</v>
      </c>
      <c r="G25" s="4">
        <v>1.087</v>
      </c>
      <c r="H25" s="4">
        <v>0.513</v>
      </c>
      <c r="I25" s="3">
        <f t="shared" si="1"/>
        <v>5.352</v>
      </c>
      <c r="J25" s="3">
        <f t="shared" si="2"/>
        <v>3.42171151</v>
      </c>
      <c r="K25" s="3">
        <f t="shared" si="3"/>
        <v>0.6218951242</v>
      </c>
    </row>
    <row r="26" ht="15.75" customHeight="1">
      <c r="A26" s="2">
        <v>26.0</v>
      </c>
      <c r="B26" s="4">
        <v>16.089</v>
      </c>
      <c r="C26" s="4">
        <v>2.053</v>
      </c>
      <c r="D26" s="4">
        <v>3.214</v>
      </c>
      <c r="E26" s="4">
        <v>2.255</v>
      </c>
      <c r="F26" s="4">
        <v>0.576</v>
      </c>
      <c r="G26" s="4">
        <v>1.058</v>
      </c>
      <c r="H26" s="4">
        <v>0.453</v>
      </c>
      <c r="I26" s="3">
        <f t="shared" si="1"/>
        <v>5.267</v>
      </c>
      <c r="J26" s="3">
        <f t="shared" si="2"/>
        <v>3.054680084</v>
      </c>
      <c r="K26" s="3">
        <f t="shared" si="3"/>
        <v>0.5444234405</v>
      </c>
    </row>
    <row r="27" ht="15.75" customHeight="1">
      <c r="A27" s="2">
        <v>27.0</v>
      </c>
      <c r="B27" s="4">
        <v>16.242</v>
      </c>
      <c r="C27" s="4">
        <v>2.234</v>
      </c>
      <c r="D27" s="4">
        <v>3.114</v>
      </c>
      <c r="E27" s="4">
        <v>2.084</v>
      </c>
      <c r="F27" s="4">
        <v>0.442</v>
      </c>
      <c r="G27" s="4">
        <v>1.065</v>
      </c>
      <c r="H27" s="4">
        <v>0.374</v>
      </c>
      <c r="I27" s="3">
        <f t="shared" si="1"/>
        <v>5.348</v>
      </c>
      <c r="J27" s="3">
        <f t="shared" si="2"/>
        <v>3.037023186</v>
      </c>
      <c r="K27" s="3">
        <f t="shared" si="3"/>
        <v>0.4150234742</v>
      </c>
    </row>
    <row r="28" ht="15.75" customHeight="1">
      <c r="A28" s="2">
        <v>28.0</v>
      </c>
      <c r="B28" s="4">
        <v>18.87</v>
      </c>
      <c r="C28" s="4">
        <v>2.046</v>
      </c>
      <c r="D28" s="4">
        <v>3.363</v>
      </c>
      <c r="E28" s="4">
        <v>2.647</v>
      </c>
      <c r="F28" s="4">
        <v>0.659</v>
      </c>
      <c r="G28" s="4">
        <v>1.284</v>
      </c>
      <c r="H28" s="4">
        <v>0.534</v>
      </c>
      <c r="I28" s="3">
        <f t="shared" si="1"/>
        <v>5.409</v>
      </c>
      <c r="J28" s="3">
        <f t="shared" si="2"/>
        <v>3.488630061</v>
      </c>
      <c r="K28" s="3">
        <f t="shared" si="3"/>
        <v>0.5132398754</v>
      </c>
    </row>
    <row r="29" ht="15.75" customHeight="1">
      <c r="A29" s="2">
        <v>29.0</v>
      </c>
      <c r="B29" s="4">
        <v>16.222</v>
      </c>
      <c r="C29" s="4">
        <v>2.161</v>
      </c>
      <c r="D29" s="4">
        <v>3.304</v>
      </c>
      <c r="E29" s="4">
        <v>2.55</v>
      </c>
      <c r="F29" s="4">
        <v>0.486</v>
      </c>
      <c r="G29" s="4">
        <v>1.16</v>
      </c>
      <c r="H29" s="4">
        <v>0.486</v>
      </c>
      <c r="I29" s="3">
        <f t="shared" si="1"/>
        <v>5.465</v>
      </c>
      <c r="J29" s="3">
        <f t="shared" si="2"/>
        <v>2.968344007</v>
      </c>
      <c r="K29" s="3">
        <f t="shared" si="3"/>
        <v>0.4189655172</v>
      </c>
    </row>
    <row r="30" ht="15.75" customHeight="1">
      <c r="A30" s="2">
        <v>30.0</v>
      </c>
      <c r="B30" s="4">
        <v>17.514</v>
      </c>
      <c r="C30" s="4">
        <v>2.074</v>
      </c>
      <c r="D30" s="4">
        <v>2.843</v>
      </c>
      <c r="E30" s="4">
        <v>2.292</v>
      </c>
      <c r="F30" s="4">
        <v>0.488</v>
      </c>
      <c r="G30" s="4">
        <v>1.162</v>
      </c>
      <c r="H30" s="4">
        <v>0.393</v>
      </c>
      <c r="I30" s="3">
        <f t="shared" si="1"/>
        <v>4.917</v>
      </c>
      <c r="J30" s="3">
        <f t="shared" si="2"/>
        <v>3.561928005</v>
      </c>
      <c r="K30" s="3">
        <f t="shared" si="3"/>
        <v>0.4199655766</v>
      </c>
    </row>
    <row r="31" ht="15.75" customHeight="1">
      <c r="A31" s="2" t="s">
        <v>11</v>
      </c>
      <c r="B31" s="3">
        <f t="shared" ref="B31:K31" si="4">AVERAGE(B2:B30)</f>
        <v>16.44624138</v>
      </c>
      <c r="C31" s="3">
        <f t="shared" si="4"/>
        <v>2.054689655</v>
      </c>
      <c r="D31" s="3">
        <f t="shared" si="4"/>
        <v>3.167034483</v>
      </c>
      <c r="E31" s="3">
        <f t="shared" si="4"/>
        <v>2.224275862</v>
      </c>
      <c r="F31" s="3">
        <f t="shared" si="4"/>
        <v>0.5512758621</v>
      </c>
      <c r="G31" s="3">
        <f t="shared" si="4"/>
        <v>1.125496552</v>
      </c>
      <c r="H31" s="3">
        <f t="shared" si="4"/>
        <v>0.4544137931</v>
      </c>
      <c r="I31" s="3">
        <f t="shared" si="4"/>
        <v>5.221724138</v>
      </c>
      <c r="J31" s="3">
        <f t="shared" si="4"/>
        <v>3.14496542</v>
      </c>
      <c r="K31" s="3">
        <f t="shared" si="4"/>
        <v>0.4925313169</v>
      </c>
    </row>
    <row r="32" ht="15.75" customHeight="1">
      <c r="A32" s="2" t="s">
        <v>12</v>
      </c>
      <c r="B32" s="3">
        <f t="shared" ref="B32:K32" si="5">STDEV(B2:B30)</f>
        <v>1.945318256</v>
      </c>
      <c r="C32" s="3">
        <f t="shared" si="5"/>
        <v>0.1457924414</v>
      </c>
      <c r="D32" s="3">
        <f t="shared" si="5"/>
        <v>0.2242176052</v>
      </c>
      <c r="E32" s="3">
        <f t="shared" si="5"/>
        <v>0.2164094823</v>
      </c>
      <c r="F32" s="3">
        <f t="shared" si="5"/>
        <v>0.06969417712</v>
      </c>
      <c r="G32" s="3">
        <f t="shared" si="5"/>
        <v>0.1156833964</v>
      </c>
      <c r="H32" s="3">
        <f t="shared" si="5"/>
        <v>0.08057406408</v>
      </c>
      <c r="I32" s="3">
        <f t="shared" si="5"/>
        <v>0.2571787728</v>
      </c>
      <c r="J32" s="3">
        <f t="shared" si="5"/>
        <v>0.3017463656</v>
      </c>
      <c r="K32" s="3">
        <f t="shared" si="5"/>
        <v>0.0621602999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16.851</v>
      </c>
      <c r="C2" s="3">
        <v>1.727</v>
      </c>
      <c r="D2" s="3">
        <v>3.102</v>
      </c>
      <c r="E2" s="3">
        <v>1.889</v>
      </c>
      <c r="F2" s="3">
        <v>0.48</v>
      </c>
      <c r="G2" s="3">
        <v>1.098</v>
      </c>
      <c r="H2" s="3">
        <v>0.391</v>
      </c>
      <c r="I2" s="3">
        <f t="shared" ref="I2:I31" si="1">C2+D2</f>
        <v>4.829</v>
      </c>
      <c r="J2" s="3">
        <f t="shared" ref="J2:J31" si="2">B2/I2</f>
        <v>3.489542348</v>
      </c>
      <c r="K2" s="3">
        <f t="shared" ref="K2:K31" si="3">F2/G2</f>
        <v>0.4371584699</v>
      </c>
    </row>
    <row r="3">
      <c r="A3" s="2">
        <v>2.0</v>
      </c>
      <c r="B3" s="3">
        <v>14.641</v>
      </c>
      <c r="C3" s="3">
        <v>1.962</v>
      </c>
      <c r="D3" s="3">
        <v>2.807</v>
      </c>
      <c r="E3" s="3">
        <v>1.315</v>
      </c>
      <c r="F3" s="3">
        <v>0.507</v>
      </c>
      <c r="G3" s="3">
        <v>0.973</v>
      </c>
      <c r="H3" s="3">
        <v>0.42</v>
      </c>
      <c r="I3" s="3">
        <f t="shared" si="1"/>
        <v>4.769</v>
      </c>
      <c r="J3" s="3">
        <f t="shared" si="2"/>
        <v>3.070035647</v>
      </c>
      <c r="K3" s="3">
        <f t="shared" si="3"/>
        <v>0.5210688592</v>
      </c>
    </row>
    <row r="4">
      <c r="A4" s="2">
        <v>3.0</v>
      </c>
      <c r="B4" s="3">
        <v>17.695</v>
      </c>
      <c r="C4" s="3">
        <v>1.879</v>
      </c>
      <c r="D4" s="3">
        <v>2.99</v>
      </c>
      <c r="E4" s="3">
        <v>1.801</v>
      </c>
      <c r="F4" s="3">
        <v>0.326</v>
      </c>
      <c r="G4" s="3">
        <v>0.9</v>
      </c>
      <c r="H4" s="3">
        <v>0.332</v>
      </c>
      <c r="I4" s="3">
        <f t="shared" si="1"/>
        <v>4.869</v>
      </c>
      <c r="J4" s="3">
        <f t="shared" si="2"/>
        <v>3.634216472</v>
      </c>
      <c r="K4" s="3">
        <f t="shared" si="3"/>
        <v>0.3622222222</v>
      </c>
    </row>
    <row r="5">
      <c r="A5" s="2">
        <v>4.0</v>
      </c>
      <c r="B5" s="3">
        <v>17.0</v>
      </c>
      <c r="C5" s="3">
        <v>1.721</v>
      </c>
      <c r="D5" s="3">
        <v>3.304</v>
      </c>
      <c r="E5" s="3">
        <v>1.61</v>
      </c>
      <c r="F5" s="3">
        <v>0.436</v>
      </c>
      <c r="G5" s="3">
        <v>1.094</v>
      </c>
      <c r="H5" s="3">
        <v>0.515</v>
      </c>
      <c r="I5" s="3">
        <f t="shared" si="1"/>
        <v>5.025</v>
      </c>
      <c r="J5" s="3">
        <f t="shared" si="2"/>
        <v>3.383084577</v>
      </c>
      <c r="K5" s="3">
        <f t="shared" si="3"/>
        <v>0.3985374771</v>
      </c>
    </row>
    <row r="6">
      <c r="A6" s="2">
        <v>5.0</v>
      </c>
      <c r="B6" s="3">
        <v>14.201</v>
      </c>
      <c r="C6" s="3">
        <v>1.542</v>
      </c>
      <c r="D6" s="3">
        <v>3.167</v>
      </c>
      <c r="E6" s="3">
        <v>1.809</v>
      </c>
      <c r="F6" s="3">
        <v>0.569</v>
      </c>
      <c r="G6" s="3">
        <v>1.084</v>
      </c>
      <c r="H6" s="3">
        <v>0.45</v>
      </c>
      <c r="I6" s="3">
        <f t="shared" si="1"/>
        <v>4.709</v>
      </c>
      <c r="J6" s="3">
        <f t="shared" si="2"/>
        <v>3.015714589</v>
      </c>
      <c r="K6" s="3">
        <f t="shared" si="3"/>
        <v>0.5249077491</v>
      </c>
    </row>
    <row r="7">
      <c r="A7" s="2">
        <v>6.0</v>
      </c>
      <c r="B7" s="3">
        <v>12.951</v>
      </c>
      <c r="C7" s="3">
        <v>1.753</v>
      </c>
      <c r="D7" s="3">
        <v>2.739</v>
      </c>
      <c r="E7" s="3">
        <v>1.801</v>
      </c>
      <c r="F7" s="3">
        <v>0.467</v>
      </c>
      <c r="G7" s="3">
        <v>1.01</v>
      </c>
      <c r="H7" s="3">
        <v>0.444</v>
      </c>
      <c r="I7" s="3">
        <f t="shared" si="1"/>
        <v>4.492</v>
      </c>
      <c r="J7" s="3">
        <f t="shared" si="2"/>
        <v>2.883125557</v>
      </c>
      <c r="K7" s="3">
        <f t="shared" si="3"/>
        <v>0.4623762376</v>
      </c>
    </row>
    <row r="8">
      <c r="A8" s="2">
        <v>7.0</v>
      </c>
      <c r="B8" s="3">
        <v>12.84</v>
      </c>
      <c r="C8" s="3">
        <v>1.515</v>
      </c>
      <c r="D8" s="3">
        <v>2.913</v>
      </c>
      <c r="E8" s="3">
        <v>1.949</v>
      </c>
      <c r="F8" s="3">
        <v>0.395</v>
      </c>
      <c r="G8" s="3">
        <v>0.968</v>
      </c>
      <c r="H8" s="3">
        <v>0.272</v>
      </c>
      <c r="I8" s="3">
        <f t="shared" si="1"/>
        <v>4.428</v>
      </c>
      <c r="J8" s="3">
        <f t="shared" si="2"/>
        <v>2.899728997</v>
      </c>
      <c r="K8" s="3">
        <f t="shared" si="3"/>
        <v>0.4080578512</v>
      </c>
    </row>
    <row r="9">
      <c r="A9" s="2">
        <v>8.0</v>
      </c>
      <c r="B9" s="3">
        <v>12.295</v>
      </c>
      <c r="C9" s="3">
        <v>1.782</v>
      </c>
      <c r="D9" s="3">
        <v>2.888</v>
      </c>
      <c r="E9" s="3">
        <v>1.835</v>
      </c>
      <c r="F9" s="3">
        <v>0.385</v>
      </c>
      <c r="G9" s="3">
        <v>0.946</v>
      </c>
      <c r="H9" s="3">
        <v>0.511</v>
      </c>
      <c r="I9" s="3">
        <f t="shared" si="1"/>
        <v>4.67</v>
      </c>
      <c r="J9" s="3">
        <f t="shared" si="2"/>
        <v>2.632762313</v>
      </c>
      <c r="K9" s="3">
        <f t="shared" si="3"/>
        <v>0.4069767442</v>
      </c>
    </row>
    <row r="10">
      <c r="A10" s="2">
        <v>9.0</v>
      </c>
      <c r="B10" s="3">
        <v>16.828</v>
      </c>
      <c r="C10" s="3">
        <v>1.749</v>
      </c>
      <c r="D10" s="3">
        <v>3.21</v>
      </c>
      <c r="E10" s="3">
        <v>2.132</v>
      </c>
      <c r="F10" s="3">
        <v>0.555</v>
      </c>
      <c r="G10" s="3">
        <v>1.171</v>
      </c>
      <c r="H10" s="3">
        <v>0.542</v>
      </c>
      <c r="I10" s="3">
        <f t="shared" si="1"/>
        <v>4.959</v>
      </c>
      <c r="J10" s="3">
        <f t="shared" si="2"/>
        <v>3.393426094</v>
      </c>
      <c r="K10" s="3">
        <f t="shared" si="3"/>
        <v>0.4739538856</v>
      </c>
    </row>
    <row r="11">
      <c r="A11" s="2">
        <v>10.0</v>
      </c>
      <c r="B11" s="4">
        <v>12.192</v>
      </c>
      <c r="C11" s="4">
        <v>1.561</v>
      </c>
      <c r="D11" s="4">
        <v>3.052</v>
      </c>
      <c r="E11" s="4">
        <v>1.76</v>
      </c>
      <c r="F11" s="4">
        <v>0.555</v>
      </c>
      <c r="G11" s="4">
        <v>0.906</v>
      </c>
      <c r="H11" s="4">
        <v>0.333</v>
      </c>
      <c r="I11" s="3">
        <f t="shared" si="1"/>
        <v>4.613</v>
      </c>
      <c r="J11" s="3">
        <f t="shared" si="2"/>
        <v>2.642965532</v>
      </c>
      <c r="K11" s="3">
        <f t="shared" si="3"/>
        <v>0.6125827815</v>
      </c>
    </row>
    <row r="12">
      <c r="A12" s="2">
        <v>11.0</v>
      </c>
      <c r="B12" s="4">
        <v>14.083</v>
      </c>
      <c r="C12" s="4">
        <v>1.578</v>
      </c>
      <c r="D12" s="4">
        <v>2.817</v>
      </c>
      <c r="E12" s="4">
        <v>1.552</v>
      </c>
      <c r="F12" s="4">
        <v>0.509</v>
      </c>
      <c r="G12" s="4">
        <v>1.03</v>
      </c>
      <c r="H12" s="4">
        <v>0.467</v>
      </c>
      <c r="I12" s="3">
        <f t="shared" si="1"/>
        <v>4.395</v>
      </c>
      <c r="J12" s="3">
        <f t="shared" si="2"/>
        <v>3.204323094</v>
      </c>
      <c r="K12" s="3">
        <f t="shared" si="3"/>
        <v>0.4941747573</v>
      </c>
    </row>
    <row r="13">
      <c r="A13" s="2">
        <v>12.0</v>
      </c>
      <c r="B13" s="4">
        <v>14.3397</v>
      </c>
      <c r="C13" s="4">
        <v>1.597</v>
      </c>
      <c r="D13" s="4">
        <v>3.006</v>
      </c>
      <c r="E13" s="4">
        <v>1.693</v>
      </c>
      <c r="F13" s="4">
        <v>0.506</v>
      </c>
      <c r="G13" s="4">
        <v>0.904</v>
      </c>
      <c r="H13" s="4">
        <v>0.335</v>
      </c>
      <c r="I13" s="3">
        <f t="shared" si="1"/>
        <v>4.603</v>
      </c>
      <c r="J13" s="3">
        <f t="shared" si="2"/>
        <v>3.115294373</v>
      </c>
      <c r="K13" s="3">
        <f t="shared" si="3"/>
        <v>0.5597345133</v>
      </c>
    </row>
    <row r="14">
      <c r="A14" s="2">
        <v>13.0</v>
      </c>
      <c r="B14" s="4">
        <v>15.975</v>
      </c>
      <c r="C14" s="4">
        <v>1.546</v>
      </c>
      <c r="D14" s="4">
        <v>3.411</v>
      </c>
      <c r="E14" s="4">
        <v>1.826</v>
      </c>
      <c r="F14" s="4">
        <v>0.497</v>
      </c>
      <c r="G14" s="4">
        <v>1.076</v>
      </c>
      <c r="H14" s="4">
        <v>0.389</v>
      </c>
      <c r="I14" s="3">
        <f t="shared" si="1"/>
        <v>4.957</v>
      </c>
      <c r="J14" s="3">
        <f t="shared" si="2"/>
        <v>3.222715352</v>
      </c>
      <c r="K14" s="3">
        <f t="shared" si="3"/>
        <v>0.4618959108</v>
      </c>
    </row>
    <row r="15">
      <c r="A15" s="2">
        <v>14.0</v>
      </c>
      <c r="B15" s="4">
        <v>15.908</v>
      </c>
      <c r="C15" s="4">
        <v>1.74</v>
      </c>
      <c r="D15" s="4">
        <v>3.118</v>
      </c>
      <c r="E15" s="4">
        <v>1.733</v>
      </c>
      <c r="F15" s="4">
        <v>0.476</v>
      </c>
      <c r="G15" s="4">
        <v>1.156</v>
      </c>
      <c r="H15" s="4">
        <v>0.494</v>
      </c>
      <c r="I15" s="3">
        <f t="shared" si="1"/>
        <v>4.858</v>
      </c>
      <c r="J15" s="3">
        <f t="shared" si="2"/>
        <v>3.2745986</v>
      </c>
      <c r="K15" s="3">
        <f t="shared" si="3"/>
        <v>0.4117647059</v>
      </c>
    </row>
    <row r="16">
      <c r="A16" s="2">
        <v>15.0</v>
      </c>
      <c r="B16" s="4">
        <v>13.257</v>
      </c>
      <c r="C16" s="4">
        <v>1.725</v>
      </c>
      <c r="D16" s="4">
        <v>3.005</v>
      </c>
      <c r="E16" s="4">
        <v>1.45</v>
      </c>
      <c r="F16" s="4">
        <v>0.484</v>
      </c>
      <c r="G16" s="4">
        <v>0.894</v>
      </c>
      <c r="H16" s="4">
        <v>0.416</v>
      </c>
      <c r="I16" s="3">
        <f t="shared" si="1"/>
        <v>4.73</v>
      </c>
      <c r="J16" s="3">
        <f t="shared" si="2"/>
        <v>2.802748414</v>
      </c>
      <c r="K16" s="3">
        <f t="shared" si="3"/>
        <v>0.5413870246</v>
      </c>
    </row>
    <row r="17">
      <c r="A17" s="2">
        <v>16.0</v>
      </c>
      <c r="B17" s="4">
        <v>12.322</v>
      </c>
      <c r="C17" s="4">
        <v>1.662</v>
      </c>
      <c r="D17" s="4">
        <v>3.139</v>
      </c>
      <c r="E17" s="4">
        <v>1.62</v>
      </c>
      <c r="F17" s="4">
        <v>0.43</v>
      </c>
      <c r="G17" s="4">
        <v>0.973</v>
      </c>
      <c r="H17" s="4">
        <v>0.342</v>
      </c>
      <c r="I17" s="3">
        <f t="shared" si="1"/>
        <v>4.801</v>
      </c>
      <c r="J17" s="3">
        <f t="shared" si="2"/>
        <v>2.566548636</v>
      </c>
      <c r="K17" s="3">
        <f t="shared" si="3"/>
        <v>0.4419321686</v>
      </c>
    </row>
    <row r="18">
      <c r="A18" s="2">
        <v>17.0</v>
      </c>
      <c r="B18" s="4">
        <v>15.712</v>
      </c>
      <c r="C18" s="4">
        <v>1.716</v>
      </c>
      <c r="D18" s="4">
        <v>3.221</v>
      </c>
      <c r="E18" s="4">
        <v>1.692</v>
      </c>
      <c r="F18" s="4">
        <v>0.4</v>
      </c>
      <c r="G18" s="4">
        <v>0.95</v>
      </c>
      <c r="H18" s="4">
        <v>0.444</v>
      </c>
      <c r="I18" s="3">
        <f t="shared" si="1"/>
        <v>4.937</v>
      </c>
      <c r="J18" s="3">
        <f t="shared" si="2"/>
        <v>3.182499494</v>
      </c>
      <c r="K18" s="3">
        <f t="shared" si="3"/>
        <v>0.4210526316</v>
      </c>
    </row>
    <row r="19">
      <c r="A19" s="2">
        <v>18.0</v>
      </c>
      <c r="B19" s="4">
        <v>12.949</v>
      </c>
      <c r="C19" s="4">
        <v>1.493</v>
      </c>
      <c r="D19" s="4">
        <v>2.879</v>
      </c>
      <c r="E19" s="4">
        <v>1.694</v>
      </c>
      <c r="F19" s="4">
        <v>0.478</v>
      </c>
      <c r="G19" s="4">
        <v>1.001</v>
      </c>
      <c r="H19" s="4">
        <v>0.316</v>
      </c>
      <c r="I19" s="3">
        <f t="shared" si="1"/>
        <v>4.372</v>
      </c>
      <c r="J19" s="3">
        <f t="shared" si="2"/>
        <v>2.961802379</v>
      </c>
      <c r="K19" s="3">
        <f t="shared" si="3"/>
        <v>0.4775224775</v>
      </c>
    </row>
    <row r="20">
      <c r="A20" s="2">
        <v>19.0</v>
      </c>
      <c r="B20" s="4">
        <v>15.727</v>
      </c>
      <c r="C20" s="4">
        <v>1.924</v>
      </c>
      <c r="D20" s="4">
        <v>3.119</v>
      </c>
      <c r="E20" s="4">
        <v>2.001</v>
      </c>
      <c r="F20" s="4">
        <v>0.354</v>
      </c>
      <c r="G20" s="4">
        <v>1.081</v>
      </c>
      <c r="H20" s="4">
        <v>0.399</v>
      </c>
      <c r="I20" s="3">
        <f t="shared" si="1"/>
        <v>5.043</v>
      </c>
      <c r="J20" s="3">
        <f t="shared" si="2"/>
        <v>3.11858021</v>
      </c>
      <c r="K20" s="3">
        <f t="shared" si="3"/>
        <v>0.3274745606</v>
      </c>
    </row>
    <row r="21" ht="15.75" customHeight="1">
      <c r="A21" s="2">
        <v>20.0</v>
      </c>
      <c r="B21" s="4">
        <v>14.789</v>
      </c>
      <c r="C21" s="4">
        <v>1.6</v>
      </c>
      <c r="D21" s="4">
        <v>3.245</v>
      </c>
      <c r="E21" s="4">
        <v>1.739</v>
      </c>
      <c r="F21" s="4">
        <v>0.394</v>
      </c>
      <c r="G21" s="4">
        <v>1.063</v>
      </c>
      <c r="H21" s="4">
        <v>0.409</v>
      </c>
      <c r="I21" s="3">
        <f t="shared" si="1"/>
        <v>4.845</v>
      </c>
      <c r="J21" s="3">
        <f t="shared" si="2"/>
        <v>3.052425181</v>
      </c>
      <c r="K21" s="3">
        <f t="shared" si="3"/>
        <v>0.3706491063</v>
      </c>
    </row>
    <row r="22" ht="15.75" customHeight="1">
      <c r="A22" s="2">
        <v>21.0</v>
      </c>
      <c r="B22" s="4">
        <v>14.701</v>
      </c>
      <c r="C22" s="4">
        <v>1.739</v>
      </c>
      <c r="D22" s="4">
        <v>2.906</v>
      </c>
      <c r="E22" s="4">
        <v>1.762</v>
      </c>
      <c r="F22" s="4">
        <v>0.532</v>
      </c>
      <c r="G22" s="4">
        <v>1.126</v>
      </c>
      <c r="H22" s="4">
        <v>0.422</v>
      </c>
      <c r="I22" s="3">
        <f t="shared" si="1"/>
        <v>4.645</v>
      </c>
      <c r="J22" s="3">
        <f t="shared" si="2"/>
        <v>3.164908504</v>
      </c>
      <c r="K22" s="3">
        <f t="shared" si="3"/>
        <v>0.4724689165</v>
      </c>
    </row>
    <row r="23" ht="15.75" customHeight="1">
      <c r="A23" s="2">
        <v>22.0</v>
      </c>
      <c r="B23" s="4">
        <v>21.079</v>
      </c>
      <c r="C23" s="4">
        <v>1.579</v>
      </c>
      <c r="D23" s="4">
        <v>3.329</v>
      </c>
      <c r="E23" s="4">
        <v>1.73</v>
      </c>
      <c r="F23" s="4">
        <v>0.487</v>
      </c>
      <c r="G23" s="4">
        <v>1.013</v>
      </c>
      <c r="H23" s="4">
        <v>0.391</v>
      </c>
      <c r="I23" s="3">
        <f t="shared" si="1"/>
        <v>4.908</v>
      </c>
      <c r="J23" s="3">
        <f t="shared" si="2"/>
        <v>4.294824776</v>
      </c>
      <c r="K23" s="3">
        <f t="shared" si="3"/>
        <v>0.4807502468</v>
      </c>
    </row>
    <row r="24" ht="15.75" customHeight="1">
      <c r="A24" s="2">
        <v>23.0</v>
      </c>
      <c r="B24" s="4">
        <v>15.192</v>
      </c>
      <c r="C24" s="4">
        <v>1.516</v>
      </c>
      <c r="D24" s="4">
        <v>3.097</v>
      </c>
      <c r="E24" s="4">
        <v>1.87</v>
      </c>
      <c r="F24" s="4">
        <v>0.541</v>
      </c>
      <c r="G24" s="4">
        <v>1.152</v>
      </c>
      <c r="H24" s="4">
        <v>0.515</v>
      </c>
      <c r="I24" s="3">
        <f t="shared" si="1"/>
        <v>4.613</v>
      </c>
      <c r="J24" s="3">
        <f t="shared" si="2"/>
        <v>3.293301539</v>
      </c>
      <c r="K24" s="3">
        <f t="shared" si="3"/>
        <v>0.4696180556</v>
      </c>
    </row>
    <row r="25" ht="15.75" customHeight="1">
      <c r="A25" s="2">
        <v>24.0</v>
      </c>
      <c r="B25" s="4">
        <v>13.232</v>
      </c>
      <c r="C25" s="4">
        <v>1.605</v>
      </c>
      <c r="D25" s="4">
        <v>2.927</v>
      </c>
      <c r="E25" s="4">
        <v>1.708</v>
      </c>
      <c r="F25" s="4">
        <v>0.4996</v>
      </c>
      <c r="G25" s="4">
        <v>0.839</v>
      </c>
      <c r="H25" s="4">
        <v>0.425</v>
      </c>
      <c r="I25" s="3">
        <f t="shared" si="1"/>
        <v>4.532</v>
      </c>
      <c r="J25" s="3">
        <f t="shared" si="2"/>
        <v>2.919682259</v>
      </c>
      <c r="K25" s="3">
        <f t="shared" si="3"/>
        <v>0.5954707986</v>
      </c>
    </row>
    <row r="26" ht="15.75" customHeight="1">
      <c r="A26" s="2">
        <v>25.0</v>
      </c>
      <c r="B26" s="4">
        <v>18.53</v>
      </c>
      <c r="C26" s="4">
        <v>1.866</v>
      </c>
      <c r="D26" s="4">
        <v>3.169</v>
      </c>
      <c r="E26" s="4">
        <v>1.823</v>
      </c>
      <c r="F26" s="4">
        <v>0.429</v>
      </c>
      <c r="G26" s="4">
        <v>1.243</v>
      </c>
      <c r="H26" s="4">
        <v>0.531</v>
      </c>
      <c r="I26" s="3">
        <f t="shared" si="1"/>
        <v>5.035</v>
      </c>
      <c r="J26" s="3">
        <f t="shared" si="2"/>
        <v>3.680238332</v>
      </c>
      <c r="K26" s="3">
        <f t="shared" si="3"/>
        <v>0.3451327434</v>
      </c>
    </row>
    <row r="27" ht="15.75" customHeight="1">
      <c r="A27" s="2">
        <v>26.0</v>
      </c>
      <c r="B27" s="4">
        <v>16.078</v>
      </c>
      <c r="C27" s="4">
        <v>1.811</v>
      </c>
      <c r="D27" s="4">
        <v>3.049</v>
      </c>
      <c r="E27" s="4">
        <v>1.833</v>
      </c>
      <c r="F27" s="4">
        <v>0.462</v>
      </c>
      <c r="G27" s="4">
        <v>0.924</v>
      </c>
      <c r="H27" s="4">
        <v>0.355</v>
      </c>
      <c r="I27" s="3">
        <f t="shared" si="1"/>
        <v>4.86</v>
      </c>
      <c r="J27" s="3">
        <f t="shared" si="2"/>
        <v>3.308230453</v>
      </c>
      <c r="K27" s="3">
        <f t="shared" si="3"/>
        <v>0.5</v>
      </c>
    </row>
    <row r="28" ht="15.75" customHeight="1">
      <c r="A28" s="2">
        <v>27.0</v>
      </c>
      <c r="B28" s="4">
        <v>16.799</v>
      </c>
      <c r="C28" s="4">
        <v>1.79</v>
      </c>
      <c r="D28" s="4">
        <v>3.152</v>
      </c>
      <c r="E28" s="4">
        <v>1.643</v>
      </c>
      <c r="F28" s="4">
        <v>0.518</v>
      </c>
      <c r="G28" s="4">
        <v>1.09</v>
      </c>
      <c r="H28" s="4">
        <v>0.453</v>
      </c>
      <c r="I28" s="3">
        <f t="shared" si="1"/>
        <v>4.942</v>
      </c>
      <c r="J28" s="3">
        <f t="shared" si="2"/>
        <v>3.399231081</v>
      </c>
      <c r="K28" s="3">
        <f t="shared" si="3"/>
        <v>0.4752293578</v>
      </c>
    </row>
    <row r="29" ht="15.75" customHeight="1">
      <c r="A29" s="2">
        <v>28.0</v>
      </c>
      <c r="B29" s="4">
        <v>12.596</v>
      </c>
      <c r="C29" s="4">
        <v>1.707</v>
      </c>
      <c r="D29" s="4">
        <v>2.922</v>
      </c>
      <c r="E29" s="4">
        <v>1.9622</v>
      </c>
      <c r="F29" s="4">
        <v>0.401</v>
      </c>
      <c r="G29" s="4">
        <v>0.964</v>
      </c>
      <c r="H29" s="4">
        <v>0.263</v>
      </c>
      <c r="I29" s="3">
        <f t="shared" si="1"/>
        <v>4.629</v>
      </c>
      <c r="J29" s="3">
        <f t="shared" si="2"/>
        <v>2.72110607</v>
      </c>
      <c r="K29" s="3">
        <f t="shared" si="3"/>
        <v>0.4159751037</v>
      </c>
    </row>
    <row r="30" ht="15.75" customHeight="1">
      <c r="A30" s="2">
        <v>29.0</v>
      </c>
      <c r="B30" s="4">
        <v>17.692</v>
      </c>
      <c r="C30" s="4">
        <v>1.624</v>
      </c>
      <c r="D30" s="4">
        <v>3.015</v>
      </c>
      <c r="E30" s="4">
        <v>1.611</v>
      </c>
      <c r="F30" s="4">
        <v>0.471</v>
      </c>
      <c r="G30" s="4">
        <v>0.926</v>
      </c>
      <c r="H30" s="4">
        <v>0.317</v>
      </c>
      <c r="I30" s="3">
        <f t="shared" si="1"/>
        <v>4.639</v>
      </c>
      <c r="J30" s="3">
        <f t="shared" si="2"/>
        <v>3.813752964</v>
      </c>
      <c r="K30" s="3">
        <f t="shared" si="3"/>
        <v>0.5086393089</v>
      </c>
    </row>
    <row r="31" ht="15.75" customHeight="1">
      <c r="A31" s="2">
        <v>30.0</v>
      </c>
      <c r="B31" s="4">
        <v>14.989</v>
      </c>
      <c r="C31" s="4">
        <v>1.349</v>
      </c>
      <c r="D31" s="4">
        <v>3.303</v>
      </c>
      <c r="E31" s="4">
        <v>1.684</v>
      </c>
      <c r="F31" s="4">
        <v>0.491</v>
      </c>
      <c r="G31" s="4">
        <v>0.998</v>
      </c>
      <c r="H31" s="4">
        <v>0.465</v>
      </c>
      <c r="I31" s="3">
        <f t="shared" si="1"/>
        <v>4.652</v>
      </c>
      <c r="J31" s="3">
        <f t="shared" si="2"/>
        <v>3.22205503</v>
      </c>
      <c r="K31" s="3">
        <f t="shared" si="3"/>
        <v>0.4919839679</v>
      </c>
    </row>
    <row r="32" ht="15.75" customHeight="1">
      <c r="A32" s="2" t="s">
        <v>11</v>
      </c>
      <c r="B32" s="3">
        <f t="shared" ref="B32:K32" si="4">AVERAGE(B2:B31)</f>
        <v>15.11479</v>
      </c>
      <c r="C32" s="3">
        <f t="shared" si="4"/>
        <v>1.6786</v>
      </c>
      <c r="D32" s="3">
        <f t="shared" si="4"/>
        <v>3.0667</v>
      </c>
      <c r="E32" s="3">
        <f t="shared" si="4"/>
        <v>1.750906667</v>
      </c>
      <c r="F32" s="3">
        <f t="shared" si="4"/>
        <v>0.46782</v>
      </c>
      <c r="G32" s="3">
        <f t="shared" si="4"/>
        <v>1.018433333</v>
      </c>
      <c r="H32" s="3">
        <f t="shared" si="4"/>
        <v>0.4119333333</v>
      </c>
      <c r="I32" s="3">
        <f t="shared" si="4"/>
        <v>4.7453</v>
      </c>
      <c r="J32" s="3">
        <f t="shared" si="4"/>
        <v>3.178782296</v>
      </c>
      <c r="K32" s="3">
        <f t="shared" si="4"/>
        <v>0.4623566211</v>
      </c>
    </row>
    <row r="33" ht="15.75" customHeight="1">
      <c r="A33" s="2" t="s">
        <v>12</v>
      </c>
      <c r="B33" s="3">
        <f t="shared" ref="B33:K33" si="5">STDEV(B2:B31)</f>
        <v>2.126263501</v>
      </c>
      <c r="C33" s="3">
        <f t="shared" si="5"/>
        <v>0.1402909784</v>
      </c>
      <c r="D33" s="3">
        <f t="shared" si="5"/>
        <v>0.1688717428</v>
      </c>
      <c r="E33" s="3">
        <f t="shared" si="5"/>
        <v>0.1622870147</v>
      </c>
      <c r="F33" s="3">
        <f t="shared" si="5"/>
        <v>0.06136509959</v>
      </c>
      <c r="G33" s="3">
        <f t="shared" si="5"/>
        <v>0.09793441977</v>
      </c>
      <c r="H33" s="3">
        <f t="shared" si="5"/>
        <v>0.07622784962</v>
      </c>
      <c r="I33" s="3">
        <f t="shared" si="5"/>
        <v>0.1932852368</v>
      </c>
      <c r="J33" s="3">
        <f t="shared" si="5"/>
        <v>0.3730943619</v>
      </c>
      <c r="K33" s="3">
        <f t="shared" si="5"/>
        <v>0.06892704419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10.941</v>
      </c>
      <c r="C2" s="3">
        <v>1.723</v>
      </c>
      <c r="D2" s="3">
        <v>2.523</v>
      </c>
      <c r="E2" s="3">
        <v>1.524</v>
      </c>
      <c r="F2" s="3">
        <v>0.33</v>
      </c>
      <c r="G2" s="3">
        <v>0.987</v>
      </c>
      <c r="H2" s="3">
        <v>0.354</v>
      </c>
      <c r="I2" s="3">
        <f t="shared" ref="I2:I31" si="1">C2+D2</f>
        <v>4.246</v>
      </c>
      <c r="J2" s="3">
        <f t="shared" ref="J2:J31" si="2">B2/I2</f>
        <v>2.576778144</v>
      </c>
      <c r="K2" s="3">
        <f t="shared" ref="K2:K31" si="3">F2/G2</f>
        <v>0.3343465046</v>
      </c>
    </row>
    <row r="3">
      <c r="A3" s="2">
        <v>2.0</v>
      </c>
      <c r="B3" s="3">
        <v>7.319</v>
      </c>
      <c r="C3" s="3">
        <v>1.522</v>
      </c>
      <c r="D3" s="3">
        <v>2.481</v>
      </c>
      <c r="E3" s="3">
        <v>1.365</v>
      </c>
      <c r="F3" s="3">
        <v>0.325</v>
      </c>
      <c r="G3" s="3">
        <v>0.826</v>
      </c>
      <c r="H3" s="3">
        <v>0.252</v>
      </c>
      <c r="I3" s="3">
        <f t="shared" si="1"/>
        <v>4.003</v>
      </c>
      <c r="J3" s="3">
        <f t="shared" si="2"/>
        <v>1.828378716</v>
      </c>
      <c r="K3" s="3">
        <f t="shared" si="3"/>
        <v>0.3934624697</v>
      </c>
    </row>
    <row r="4">
      <c r="A4" s="2">
        <v>3.0</v>
      </c>
      <c r="B4" s="3">
        <v>9.16</v>
      </c>
      <c r="C4" s="3">
        <v>1.143</v>
      </c>
      <c r="D4" s="3">
        <v>2.715</v>
      </c>
      <c r="E4" s="3">
        <v>1.227</v>
      </c>
      <c r="F4" s="3">
        <v>0.216</v>
      </c>
      <c r="G4" s="3">
        <v>0.722</v>
      </c>
      <c r="H4" s="3">
        <v>0.194</v>
      </c>
      <c r="I4" s="3">
        <f t="shared" si="1"/>
        <v>3.858</v>
      </c>
      <c r="J4" s="3">
        <f t="shared" si="2"/>
        <v>2.374287195</v>
      </c>
      <c r="K4" s="3">
        <f t="shared" si="3"/>
        <v>0.2991689751</v>
      </c>
    </row>
    <row r="5">
      <c r="A5" s="2">
        <v>4.0</v>
      </c>
      <c r="B5" s="3">
        <v>11.227</v>
      </c>
      <c r="C5" s="3">
        <v>1.902</v>
      </c>
      <c r="D5" s="3">
        <v>2.6</v>
      </c>
      <c r="E5" s="3">
        <v>1.314</v>
      </c>
      <c r="F5" s="3">
        <v>0.356</v>
      </c>
      <c r="G5" s="3">
        <v>1.085</v>
      </c>
      <c r="H5" s="3">
        <v>0.465</v>
      </c>
      <c r="I5" s="3">
        <f t="shared" si="1"/>
        <v>4.502</v>
      </c>
      <c r="J5" s="3">
        <f t="shared" si="2"/>
        <v>2.493780542</v>
      </c>
      <c r="K5" s="3">
        <f t="shared" si="3"/>
        <v>0.3281105991</v>
      </c>
    </row>
    <row r="6">
      <c r="A6" s="2">
        <v>5.0</v>
      </c>
      <c r="B6" s="3">
        <v>10.614</v>
      </c>
      <c r="C6" s="3">
        <v>1.793</v>
      </c>
      <c r="D6" s="3">
        <v>2.643</v>
      </c>
      <c r="E6" s="3">
        <v>1.288</v>
      </c>
      <c r="F6" s="3">
        <v>0.373</v>
      </c>
      <c r="G6" s="3">
        <v>0.974</v>
      </c>
      <c r="H6" s="3">
        <v>0.395</v>
      </c>
      <c r="I6" s="3">
        <f t="shared" si="1"/>
        <v>4.436</v>
      </c>
      <c r="J6" s="3">
        <f t="shared" si="2"/>
        <v>2.392696123</v>
      </c>
      <c r="K6" s="3">
        <f t="shared" si="3"/>
        <v>0.3829568789</v>
      </c>
    </row>
    <row r="7">
      <c r="A7" s="2">
        <v>6.0</v>
      </c>
      <c r="B7" s="3">
        <v>11.874</v>
      </c>
      <c r="C7" s="3">
        <v>1.781</v>
      </c>
      <c r="D7" s="3">
        <v>2.553</v>
      </c>
      <c r="E7" s="3">
        <v>1.577</v>
      </c>
      <c r="F7" s="3">
        <v>0.428</v>
      </c>
      <c r="G7" s="3">
        <v>1.101</v>
      </c>
      <c r="H7" s="3">
        <v>0.462</v>
      </c>
      <c r="I7" s="3">
        <f t="shared" si="1"/>
        <v>4.334</v>
      </c>
      <c r="J7" s="3">
        <f t="shared" si="2"/>
        <v>2.739732349</v>
      </c>
      <c r="K7" s="3">
        <f t="shared" si="3"/>
        <v>0.3887375114</v>
      </c>
    </row>
    <row r="8">
      <c r="A8" s="2">
        <v>7.0</v>
      </c>
      <c r="B8" s="3">
        <v>9.816</v>
      </c>
      <c r="C8" s="3">
        <v>1.259</v>
      </c>
      <c r="D8" s="3">
        <v>2.889</v>
      </c>
      <c r="E8" s="3">
        <v>1.311</v>
      </c>
      <c r="F8" s="3">
        <v>0.379</v>
      </c>
      <c r="G8" s="3">
        <v>1.065</v>
      </c>
      <c r="H8" s="3">
        <v>0.396</v>
      </c>
      <c r="I8" s="3">
        <f t="shared" si="1"/>
        <v>4.148</v>
      </c>
      <c r="J8" s="3">
        <f t="shared" si="2"/>
        <v>2.366441659</v>
      </c>
      <c r="K8" s="3">
        <f t="shared" si="3"/>
        <v>0.3558685446</v>
      </c>
    </row>
    <row r="9">
      <c r="A9" s="2">
        <v>8.0</v>
      </c>
      <c r="B9" s="3">
        <v>10.254</v>
      </c>
      <c r="C9" s="3">
        <v>1.471</v>
      </c>
      <c r="D9" s="3">
        <v>2.439</v>
      </c>
      <c r="E9" s="3">
        <v>1.27</v>
      </c>
      <c r="F9" s="3">
        <v>0.355</v>
      </c>
      <c r="G9" s="3">
        <v>1.018</v>
      </c>
      <c r="H9" s="3">
        <v>0.417</v>
      </c>
      <c r="I9" s="3">
        <f t="shared" si="1"/>
        <v>3.91</v>
      </c>
      <c r="J9" s="3">
        <f t="shared" si="2"/>
        <v>2.622506394</v>
      </c>
      <c r="K9" s="3">
        <f t="shared" si="3"/>
        <v>0.3487229862</v>
      </c>
    </row>
    <row r="10">
      <c r="A10" s="2">
        <v>9.0</v>
      </c>
      <c r="B10" s="3">
        <v>10.928</v>
      </c>
      <c r="C10" s="3">
        <v>1.897</v>
      </c>
      <c r="D10" s="3">
        <v>2.828</v>
      </c>
      <c r="E10" s="3">
        <v>1.477</v>
      </c>
      <c r="F10" s="3">
        <v>0.413</v>
      </c>
      <c r="G10" s="3">
        <v>1.12</v>
      </c>
      <c r="H10" s="3">
        <v>0.542</v>
      </c>
      <c r="I10" s="3">
        <f t="shared" si="1"/>
        <v>4.725</v>
      </c>
      <c r="J10" s="3">
        <f t="shared" si="2"/>
        <v>2.312804233</v>
      </c>
      <c r="K10" s="3">
        <f t="shared" si="3"/>
        <v>0.36875</v>
      </c>
    </row>
    <row r="11">
      <c r="A11" s="2">
        <v>10.0</v>
      </c>
      <c r="B11" s="4">
        <v>12.883</v>
      </c>
      <c r="C11" s="4">
        <v>1.795</v>
      </c>
      <c r="D11" s="4">
        <v>2.935</v>
      </c>
      <c r="E11" s="4">
        <v>1.454</v>
      </c>
      <c r="F11" s="4">
        <v>0.391</v>
      </c>
      <c r="G11" s="4">
        <v>1.24</v>
      </c>
      <c r="H11" s="4">
        <v>0.634</v>
      </c>
      <c r="I11" s="3">
        <f t="shared" si="1"/>
        <v>4.73</v>
      </c>
      <c r="J11" s="3">
        <f t="shared" si="2"/>
        <v>2.723678647</v>
      </c>
      <c r="K11" s="3">
        <f t="shared" si="3"/>
        <v>0.3153225806</v>
      </c>
    </row>
    <row r="12">
      <c r="A12" s="2">
        <v>11.0</v>
      </c>
      <c r="B12" s="4">
        <v>9.475</v>
      </c>
      <c r="C12" s="4">
        <v>1.504</v>
      </c>
      <c r="D12" s="4">
        <v>2.731</v>
      </c>
      <c r="E12" s="4">
        <v>1.477</v>
      </c>
      <c r="F12" s="4">
        <v>0.44</v>
      </c>
      <c r="G12" s="4">
        <v>1.051</v>
      </c>
      <c r="H12" s="4">
        <v>0.488</v>
      </c>
      <c r="I12" s="3">
        <f t="shared" si="1"/>
        <v>4.235</v>
      </c>
      <c r="J12" s="3">
        <f t="shared" si="2"/>
        <v>2.237308146</v>
      </c>
      <c r="K12" s="3">
        <f t="shared" si="3"/>
        <v>0.4186489058</v>
      </c>
    </row>
    <row r="13">
      <c r="A13" s="2">
        <v>12.0</v>
      </c>
      <c r="B13" s="4">
        <v>8.73</v>
      </c>
      <c r="C13" s="4">
        <v>1.733</v>
      </c>
      <c r="D13" s="4">
        <v>2.244</v>
      </c>
      <c r="E13" s="4">
        <v>1.161</v>
      </c>
      <c r="F13" s="4">
        <v>0.296</v>
      </c>
      <c r="G13" s="4">
        <v>0.819</v>
      </c>
      <c r="H13" s="4">
        <v>0.292</v>
      </c>
      <c r="I13" s="3">
        <f t="shared" si="1"/>
        <v>3.977</v>
      </c>
      <c r="J13" s="3">
        <f t="shared" si="2"/>
        <v>2.195121951</v>
      </c>
      <c r="K13" s="3">
        <f t="shared" si="3"/>
        <v>0.3614163614</v>
      </c>
    </row>
    <row r="14">
      <c r="A14" s="2">
        <v>13.0</v>
      </c>
      <c r="B14" s="4">
        <v>8.78</v>
      </c>
      <c r="C14" s="4">
        <v>1.591</v>
      </c>
      <c r="D14" s="4">
        <v>2.469</v>
      </c>
      <c r="E14" s="4">
        <v>1.395</v>
      </c>
      <c r="F14" s="4">
        <v>0.472</v>
      </c>
      <c r="G14" s="4">
        <v>1.124</v>
      </c>
      <c r="H14" s="4">
        <v>0.433</v>
      </c>
      <c r="I14" s="3">
        <f t="shared" si="1"/>
        <v>4.06</v>
      </c>
      <c r="J14" s="3">
        <f t="shared" si="2"/>
        <v>2.162561576</v>
      </c>
      <c r="K14" s="3">
        <f t="shared" si="3"/>
        <v>0.4199288256</v>
      </c>
    </row>
    <row r="15">
      <c r="A15" s="2">
        <v>14.0</v>
      </c>
      <c r="B15" s="4">
        <v>9.808</v>
      </c>
      <c r="C15" s="4">
        <v>1.571</v>
      </c>
      <c r="D15" s="4">
        <v>2.717</v>
      </c>
      <c r="E15" s="4">
        <v>1.262</v>
      </c>
      <c r="F15" s="4">
        <v>0.452</v>
      </c>
      <c r="G15" s="4">
        <v>1.086</v>
      </c>
      <c r="H15" s="4">
        <v>0.444</v>
      </c>
      <c r="I15" s="3">
        <f t="shared" si="1"/>
        <v>4.288</v>
      </c>
      <c r="J15" s="3">
        <f t="shared" si="2"/>
        <v>2.287313433</v>
      </c>
      <c r="K15" s="3">
        <f t="shared" si="3"/>
        <v>0.4162062615</v>
      </c>
    </row>
    <row r="16">
      <c r="A16" s="2">
        <v>15.0</v>
      </c>
      <c r="B16" s="4">
        <v>10.825</v>
      </c>
      <c r="C16" s="4">
        <v>1.465</v>
      </c>
      <c r="D16" s="4">
        <v>2.941</v>
      </c>
      <c r="E16" s="4">
        <v>1.192</v>
      </c>
      <c r="F16" s="4">
        <v>0.477</v>
      </c>
      <c r="G16" s="4">
        <v>1.04</v>
      </c>
      <c r="H16" s="4">
        <v>0.442</v>
      </c>
      <c r="I16" s="3">
        <f t="shared" si="1"/>
        <v>4.406</v>
      </c>
      <c r="J16" s="3">
        <f t="shared" si="2"/>
        <v>2.456876986</v>
      </c>
      <c r="K16" s="3">
        <f t="shared" si="3"/>
        <v>0.4586538462</v>
      </c>
    </row>
    <row r="17">
      <c r="A17" s="2">
        <v>16.0</v>
      </c>
      <c r="B17" s="4">
        <v>8.795</v>
      </c>
      <c r="C17" s="4">
        <v>1.674</v>
      </c>
      <c r="D17" s="4">
        <v>2.573</v>
      </c>
      <c r="E17" s="4">
        <v>1.157</v>
      </c>
      <c r="F17" s="4">
        <v>0.34</v>
      </c>
      <c r="G17" s="4">
        <v>0.925</v>
      </c>
      <c r="H17" s="4">
        <v>0.461</v>
      </c>
      <c r="I17" s="3">
        <f t="shared" si="1"/>
        <v>4.247</v>
      </c>
      <c r="J17" s="3">
        <f t="shared" si="2"/>
        <v>2.070873558</v>
      </c>
      <c r="K17" s="3">
        <f t="shared" si="3"/>
        <v>0.3675675676</v>
      </c>
    </row>
    <row r="18">
      <c r="A18" s="2">
        <v>17.0</v>
      </c>
      <c r="B18" s="4">
        <v>6.759</v>
      </c>
      <c r="C18" s="4">
        <v>1.449</v>
      </c>
      <c r="D18" s="4">
        <v>2.383</v>
      </c>
      <c r="E18" s="4">
        <v>0.791</v>
      </c>
      <c r="F18" s="4">
        <v>0.286</v>
      </c>
      <c r="G18" s="4">
        <v>1.039</v>
      </c>
      <c r="H18" s="4">
        <v>0.388</v>
      </c>
      <c r="I18" s="3">
        <f t="shared" si="1"/>
        <v>3.832</v>
      </c>
      <c r="J18" s="3">
        <f t="shared" si="2"/>
        <v>1.763830898</v>
      </c>
      <c r="K18" s="3">
        <f t="shared" si="3"/>
        <v>0.2752646776</v>
      </c>
    </row>
    <row r="19">
      <c r="A19" s="2">
        <v>18.0</v>
      </c>
      <c r="B19" s="4">
        <v>10.898</v>
      </c>
      <c r="C19" s="4">
        <v>1.806</v>
      </c>
      <c r="D19" s="4">
        <v>2.806</v>
      </c>
      <c r="E19" s="4">
        <v>1.254</v>
      </c>
      <c r="F19" s="4">
        <v>0.52</v>
      </c>
      <c r="G19" s="4">
        <v>1.22</v>
      </c>
      <c r="H19" s="4">
        <v>0.334</v>
      </c>
      <c r="I19" s="3">
        <f t="shared" si="1"/>
        <v>4.612</v>
      </c>
      <c r="J19" s="3">
        <f t="shared" si="2"/>
        <v>2.362966175</v>
      </c>
      <c r="K19" s="3">
        <f t="shared" si="3"/>
        <v>0.4262295082</v>
      </c>
    </row>
    <row r="20">
      <c r="A20" s="2">
        <v>19.0</v>
      </c>
      <c r="B20" s="4">
        <v>11.049</v>
      </c>
      <c r="C20" s="4">
        <v>1.691</v>
      </c>
      <c r="D20" s="4">
        <v>2.995</v>
      </c>
      <c r="E20" s="4">
        <v>1.426</v>
      </c>
      <c r="F20" s="4">
        <v>0.395</v>
      </c>
      <c r="G20" s="4">
        <v>1.084</v>
      </c>
      <c r="H20" s="4">
        <v>0.461</v>
      </c>
      <c r="I20" s="3">
        <f t="shared" si="1"/>
        <v>4.686</v>
      </c>
      <c r="J20" s="3">
        <f t="shared" si="2"/>
        <v>2.35787452</v>
      </c>
      <c r="K20" s="3">
        <f t="shared" si="3"/>
        <v>0.3643911439</v>
      </c>
    </row>
    <row r="21" ht="15.75" customHeight="1">
      <c r="A21" s="2">
        <v>20.0</v>
      </c>
      <c r="B21" s="4">
        <v>12.254</v>
      </c>
      <c r="C21" s="4">
        <v>1.953</v>
      </c>
      <c r="D21" s="4">
        <v>2.832</v>
      </c>
      <c r="E21" s="4">
        <v>1.196</v>
      </c>
      <c r="F21" s="4">
        <v>0.473</v>
      </c>
      <c r="G21" s="4">
        <v>1.206</v>
      </c>
      <c r="H21" s="4">
        <v>0.489</v>
      </c>
      <c r="I21" s="3">
        <f t="shared" si="1"/>
        <v>4.785</v>
      </c>
      <c r="J21" s="3">
        <f t="shared" si="2"/>
        <v>2.56091954</v>
      </c>
      <c r="K21" s="3">
        <f t="shared" si="3"/>
        <v>0.3922056385</v>
      </c>
    </row>
    <row r="22" ht="15.75" customHeight="1">
      <c r="A22" s="2">
        <v>21.0</v>
      </c>
      <c r="B22" s="4">
        <v>12.239</v>
      </c>
      <c r="C22" s="4">
        <v>1.875</v>
      </c>
      <c r="D22" s="4">
        <v>2.607</v>
      </c>
      <c r="E22" s="4">
        <v>1.421</v>
      </c>
      <c r="F22" s="4">
        <v>0.456</v>
      </c>
      <c r="G22" s="4">
        <v>0.977</v>
      </c>
      <c r="H22" s="4">
        <v>0.594</v>
      </c>
      <c r="I22" s="3">
        <f t="shared" si="1"/>
        <v>4.482</v>
      </c>
      <c r="J22" s="3">
        <f t="shared" si="2"/>
        <v>2.73070058</v>
      </c>
      <c r="K22" s="3">
        <f t="shared" si="3"/>
        <v>0.4667349028</v>
      </c>
    </row>
    <row r="23" ht="15.75" customHeight="1">
      <c r="A23" s="2">
        <v>22.0</v>
      </c>
      <c r="B23" s="4">
        <v>10.742</v>
      </c>
      <c r="C23" s="4">
        <v>1.903</v>
      </c>
      <c r="D23" s="4">
        <v>2.731</v>
      </c>
      <c r="E23" s="4">
        <v>1.248</v>
      </c>
      <c r="F23" s="4">
        <v>0.415</v>
      </c>
      <c r="G23" s="4">
        <v>0.986</v>
      </c>
      <c r="H23" s="4">
        <v>0.514</v>
      </c>
      <c r="I23" s="3">
        <f t="shared" si="1"/>
        <v>4.634</v>
      </c>
      <c r="J23" s="3">
        <f t="shared" si="2"/>
        <v>2.318083729</v>
      </c>
      <c r="K23" s="3">
        <f t="shared" si="3"/>
        <v>0.4208924949</v>
      </c>
    </row>
    <row r="24" ht="15.75" customHeight="1">
      <c r="A24" s="2">
        <v>23.0</v>
      </c>
      <c r="B24" s="4">
        <v>13.912</v>
      </c>
      <c r="C24" s="4">
        <v>2.192</v>
      </c>
      <c r="D24" s="4">
        <v>2.822</v>
      </c>
      <c r="E24" s="4">
        <v>1.321</v>
      </c>
      <c r="F24" s="4">
        <v>0.529</v>
      </c>
      <c r="G24" s="4">
        <v>1.168</v>
      </c>
      <c r="H24" s="4">
        <v>0.613</v>
      </c>
      <c r="I24" s="3">
        <f t="shared" si="1"/>
        <v>5.014</v>
      </c>
      <c r="J24" s="3">
        <f t="shared" si="2"/>
        <v>2.774631033</v>
      </c>
      <c r="K24" s="3">
        <f t="shared" si="3"/>
        <v>0.4529109589</v>
      </c>
    </row>
    <row r="25" ht="15.75" customHeight="1">
      <c r="A25" s="2">
        <v>24.0</v>
      </c>
      <c r="B25" s="4">
        <v>15.944</v>
      </c>
      <c r="C25" s="4">
        <v>2.148</v>
      </c>
      <c r="D25" s="4">
        <v>3.233</v>
      </c>
      <c r="E25" s="4">
        <v>1.427</v>
      </c>
      <c r="F25" s="4">
        <v>0.557</v>
      </c>
      <c r="G25" s="4">
        <v>1.333</v>
      </c>
      <c r="H25" s="4">
        <v>0.75</v>
      </c>
      <c r="I25" s="3">
        <f t="shared" si="1"/>
        <v>5.381</v>
      </c>
      <c r="J25" s="3">
        <f t="shared" si="2"/>
        <v>2.963018026</v>
      </c>
      <c r="K25" s="3">
        <f t="shared" si="3"/>
        <v>0.4178544636</v>
      </c>
    </row>
    <row r="26" ht="15.75" customHeight="1">
      <c r="A26" s="2">
        <v>25.0</v>
      </c>
      <c r="B26" s="4">
        <v>11.366</v>
      </c>
      <c r="C26" s="4">
        <v>1.634</v>
      </c>
      <c r="D26" s="4">
        <v>3.073</v>
      </c>
      <c r="E26" s="4">
        <v>1.242</v>
      </c>
      <c r="F26" s="4">
        <v>0.328</v>
      </c>
      <c r="G26" s="4">
        <v>1.024</v>
      </c>
      <c r="H26" s="4">
        <v>0.369</v>
      </c>
      <c r="I26" s="3">
        <f t="shared" si="1"/>
        <v>4.707</v>
      </c>
      <c r="J26" s="3">
        <f t="shared" si="2"/>
        <v>2.414701508</v>
      </c>
      <c r="K26" s="3">
        <f t="shared" si="3"/>
        <v>0.3203125</v>
      </c>
    </row>
    <row r="27" ht="15.75" customHeight="1">
      <c r="A27" s="2">
        <v>26.0</v>
      </c>
      <c r="B27" s="4">
        <v>11.117</v>
      </c>
      <c r="C27" s="4">
        <v>1.576</v>
      </c>
      <c r="D27" s="4">
        <v>3.046</v>
      </c>
      <c r="E27" s="4">
        <v>1.414</v>
      </c>
      <c r="F27" s="4">
        <v>0.432</v>
      </c>
      <c r="G27" s="4">
        <v>1.253</v>
      </c>
      <c r="H27" s="4">
        <v>0.529</v>
      </c>
      <c r="I27" s="3">
        <f t="shared" si="1"/>
        <v>4.622</v>
      </c>
      <c r="J27" s="3">
        <f t="shared" si="2"/>
        <v>2.405235829</v>
      </c>
      <c r="K27" s="3">
        <f t="shared" si="3"/>
        <v>0.3447725459</v>
      </c>
    </row>
    <row r="28" ht="15.75" customHeight="1">
      <c r="A28" s="2">
        <v>27.0</v>
      </c>
      <c r="B28" s="4">
        <v>12.119</v>
      </c>
      <c r="C28" s="4">
        <v>1.616</v>
      </c>
      <c r="D28" s="4">
        <v>3.266</v>
      </c>
      <c r="E28" s="4">
        <v>1.195</v>
      </c>
      <c r="F28" s="4">
        <v>0.386</v>
      </c>
      <c r="G28" s="4">
        <v>0.994</v>
      </c>
      <c r="H28" s="4">
        <v>0.489</v>
      </c>
      <c r="I28" s="3">
        <f t="shared" si="1"/>
        <v>4.882</v>
      </c>
      <c r="J28" s="3">
        <f t="shared" si="2"/>
        <v>2.482384269</v>
      </c>
      <c r="K28" s="3">
        <f t="shared" si="3"/>
        <v>0.3883299799</v>
      </c>
    </row>
    <row r="29" ht="15.75" customHeight="1">
      <c r="A29" s="2">
        <v>28.0</v>
      </c>
      <c r="B29" s="4">
        <v>13.145</v>
      </c>
      <c r="C29" s="4">
        <v>1.896</v>
      </c>
      <c r="D29" s="4">
        <v>2.678</v>
      </c>
      <c r="E29" s="4">
        <v>1.098</v>
      </c>
      <c r="F29" s="4">
        <v>0.544</v>
      </c>
      <c r="G29" s="4">
        <v>1.249</v>
      </c>
      <c r="H29" s="4">
        <v>0.459</v>
      </c>
      <c r="I29" s="3">
        <f t="shared" si="1"/>
        <v>4.574</v>
      </c>
      <c r="J29" s="3">
        <f t="shared" si="2"/>
        <v>2.873852208</v>
      </c>
      <c r="K29" s="3">
        <f t="shared" si="3"/>
        <v>0.4355484388</v>
      </c>
    </row>
    <row r="30" ht="15.75" customHeight="1">
      <c r="A30" s="2">
        <v>29.0</v>
      </c>
      <c r="B30" s="4">
        <v>12.021</v>
      </c>
      <c r="C30" s="4">
        <v>1.855</v>
      </c>
      <c r="D30" s="4">
        <v>2.906</v>
      </c>
      <c r="E30" s="4">
        <v>1.636</v>
      </c>
      <c r="F30" s="4">
        <v>0.47</v>
      </c>
      <c r="G30" s="4">
        <v>1.043</v>
      </c>
      <c r="H30" s="4">
        <v>0.479</v>
      </c>
      <c r="I30" s="3">
        <f t="shared" si="1"/>
        <v>4.761</v>
      </c>
      <c r="J30" s="3">
        <f t="shared" si="2"/>
        <v>2.524889729</v>
      </c>
      <c r="K30" s="3">
        <f t="shared" si="3"/>
        <v>0.4506232023</v>
      </c>
    </row>
    <row r="31" ht="15.75" customHeight="1">
      <c r="A31" s="2">
        <v>30.0</v>
      </c>
      <c r="B31" s="4">
        <v>11.267</v>
      </c>
      <c r="C31" s="4">
        <v>1.947</v>
      </c>
      <c r="D31" s="4">
        <v>2.816</v>
      </c>
      <c r="E31" s="4">
        <v>1.545</v>
      </c>
      <c r="F31" s="4">
        <v>0.348</v>
      </c>
      <c r="G31" s="4">
        <v>1.055</v>
      </c>
      <c r="H31" s="4">
        <v>0.51</v>
      </c>
      <c r="I31" s="3">
        <f t="shared" si="1"/>
        <v>4.763</v>
      </c>
      <c r="J31" s="3">
        <f t="shared" si="2"/>
        <v>2.365525929</v>
      </c>
      <c r="K31" s="3">
        <f t="shared" si="3"/>
        <v>0.3298578199</v>
      </c>
    </row>
    <row r="32" ht="15.75" customHeight="1">
      <c r="A32" s="2" t="s">
        <v>11</v>
      </c>
      <c r="B32" s="3">
        <f t="shared" ref="B32:K32" si="4">AVERAGE(B2:B31)</f>
        <v>10.87536667</v>
      </c>
      <c r="C32" s="3">
        <f t="shared" si="4"/>
        <v>1.712166667</v>
      </c>
      <c r="D32" s="3">
        <f t="shared" si="4"/>
        <v>2.749166667</v>
      </c>
      <c r="E32" s="3">
        <f t="shared" si="4"/>
        <v>1.322166667</v>
      </c>
      <c r="F32" s="3">
        <f t="shared" si="4"/>
        <v>0.4060666667</v>
      </c>
      <c r="G32" s="3">
        <f t="shared" si="4"/>
        <v>1.060466667</v>
      </c>
      <c r="H32" s="3">
        <f t="shared" si="4"/>
        <v>0.4549666667</v>
      </c>
      <c r="I32" s="3">
        <f t="shared" si="4"/>
        <v>4.461333333</v>
      </c>
      <c r="J32" s="3">
        <f t="shared" si="4"/>
        <v>2.424658454</v>
      </c>
      <c r="K32" s="3">
        <f t="shared" si="4"/>
        <v>0.3814599031</v>
      </c>
    </row>
    <row r="33" ht="15.75" customHeight="1">
      <c r="A33" s="2" t="s">
        <v>12</v>
      </c>
      <c r="B33" s="3">
        <f t="shared" ref="B33:K33" si="5">STDEV(B2:B31)</f>
        <v>1.883480371</v>
      </c>
      <c r="C33" s="3">
        <f t="shared" si="5"/>
        <v>0.2360512924</v>
      </c>
      <c r="D33" s="3">
        <f t="shared" si="5"/>
        <v>0.2431399602</v>
      </c>
      <c r="E33" s="3">
        <f t="shared" si="5"/>
        <v>0.169611134</v>
      </c>
      <c r="F33" s="3">
        <f t="shared" si="5"/>
        <v>0.08124460017</v>
      </c>
      <c r="G33" s="3">
        <f t="shared" si="5"/>
        <v>0.1350350487</v>
      </c>
      <c r="H33" s="3">
        <f t="shared" si="5"/>
        <v>0.1128075821</v>
      </c>
      <c r="I33" s="3">
        <f t="shared" si="5"/>
        <v>0.3676961202</v>
      </c>
      <c r="J33" s="3">
        <f t="shared" si="5"/>
        <v>0.2711589184</v>
      </c>
      <c r="K33" s="3">
        <f t="shared" si="5"/>
        <v>0.05029986956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19.904</v>
      </c>
      <c r="C2" s="3">
        <v>2.436</v>
      </c>
      <c r="D2" s="3">
        <v>2.91</v>
      </c>
      <c r="E2" s="3">
        <v>1.974</v>
      </c>
      <c r="F2" s="3">
        <v>0.307</v>
      </c>
      <c r="G2" s="3">
        <v>1.156</v>
      </c>
      <c r="H2" s="3">
        <v>0.565</v>
      </c>
      <c r="I2" s="3">
        <f t="shared" ref="I2:I31" si="1">C2+D2</f>
        <v>5.346</v>
      </c>
      <c r="J2" s="3">
        <f t="shared" ref="J2:J31" si="2">B2/I2</f>
        <v>3.723157501</v>
      </c>
      <c r="K2" s="3">
        <f t="shared" ref="K2:K31" si="3">F2/G2</f>
        <v>0.2655709343</v>
      </c>
    </row>
    <row r="3">
      <c r="A3" s="2">
        <v>2.0</v>
      </c>
      <c r="B3" s="3">
        <v>20.795</v>
      </c>
      <c r="C3" s="3">
        <v>2.437</v>
      </c>
      <c r="D3" s="3">
        <v>2.84</v>
      </c>
      <c r="E3" s="3">
        <v>2.071</v>
      </c>
      <c r="F3" s="3">
        <v>0.278</v>
      </c>
      <c r="G3" s="3">
        <v>0.976</v>
      </c>
      <c r="H3" s="3">
        <v>0.502</v>
      </c>
      <c r="I3" s="3">
        <f t="shared" si="1"/>
        <v>5.277</v>
      </c>
      <c r="J3" s="3">
        <f t="shared" si="2"/>
        <v>3.940685996</v>
      </c>
      <c r="K3" s="3">
        <f t="shared" si="3"/>
        <v>0.2848360656</v>
      </c>
    </row>
    <row r="4">
      <c r="A4" s="2">
        <v>3.0</v>
      </c>
      <c r="B4" s="3">
        <v>22.842</v>
      </c>
      <c r="C4" s="3">
        <v>2.342</v>
      </c>
      <c r="D4" s="3">
        <v>3.508</v>
      </c>
      <c r="E4" s="3">
        <v>1.982</v>
      </c>
      <c r="F4" s="3">
        <v>0.457</v>
      </c>
      <c r="G4" s="3">
        <v>1.186</v>
      </c>
      <c r="H4" s="3">
        <v>0.761</v>
      </c>
      <c r="I4" s="3">
        <f t="shared" si="1"/>
        <v>5.85</v>
      </c>
      <c r="J4" s="3">
        <f t="shared" si="2"/>
        <v>3.904615385</v>
      </c>
      <c r="K4" s="3">
        <f t="shared" si="3"/>
        <v>0.3853288364</v>
      </c>
    </row>
    <row r="5">
      <c r="A5" s="2">
        <v>4.0</v>
      </c>
      <c r="B5" s="3">
        <v>21.703</v>
      </c>
      <c r="C5" s="3">
        <v>2.449</v>
      </c>
      <c r="D5" s="3">
        <v>2.738</v>
      </c>
      <c r="E5" s="3">
        <v>2.183</v>
      </c>
      <c r="F5" s="3">
        <v>0.401</v>
      </c>
      <c r="G5" s="3">
        <v>1.012</v>
      </c>
      <c r="H5" s="3">
        <v>0.594</v>
      </c>
      <c r="I5" s="3">
        <f t="shared" si="1"/>
        <v>5.187</v>
      </c>
      <c r="J5" s="3">
        <f t="shared" si="2"/>
        <v>4.184114131</v>
      </c>
      <c r="K5" s="3">
        <f t="shared" si="3"/>
        <v>0.3962450593</v>
      </c>
    </row>
    <row r="6">
      <c r="A6" s="2">
        <v>5.0</v>
      </c>
      <c r="B6" s="3">
        <v>21.187</v>
      </c>
      <c r="C6" s="3">
        <v>2.107</v>
      </c>
      <c r="D6" s="3">
        <v>3.149</v>
      </c>
      <c r="E6" s="3">
        <v>2.176</v>
      </c>
      <c r="F6" s="3">
        <v>0.426</v>
      </c>
      <c r="G6" s="3">
        <v>1.178</v>
      </c>
      <c r="H6" s="3">
        <v>0.665</v>
      </c>
      <c r="I6" s="3">
        <f t="shared" si="1"/>
        <v>5.256</v>
      </c>
      <c r="J6" s="3">
        <f t="shared" si="2"/>
        <v>4.031012177</v>
      </c>
      <c r="K6" s="3">
        <f t="shared" si="3"/>
        <v>0.3616298812</v>
      </c>
    </row>
    <row r="7">
      <c r="A7" s="2">
        <v>6.0</v>
      </c>
      <c r="B7" s="3">
        <v>20.14</v>
      </c>
      <c r="C7" s="3">
        <v>2.505</v>
      </c>
      <c r="D7" s="3">
        <v>2.362</v>
      </c>
      <c r="E7" s="3">
        <v>1.766</v>
      </c>
      <c r="F7" s="3">
        <v>0.422</v>
      </c>
      <c r="G7" s="3">
        <v>1.023</v>
      </c>
      <c r="H7" s="3">
        <v>0.346</v>
      </c>
      <c r="I7" s="3">
        <f t="shared" si="1"/>
        <v>4.867</v>
      </c>
      <c r="J7" s="3">
        <f t="shared" si="2"/>
        <v>4.138072735</v>
      </c>
      <c r="K7" s="3">
        <f t="shared" si="3"/>
        <v>0.412512219</v>
      </c>
    </row>
    <row r="8">
      <c r="A8" s="2">
        <v>7.0</v>
      </c>
      <c r="B8" s="3">
        <v>19.549</v>
      </c>
      <c r="C8" s="3">
        <v>2.586</v>
      </c>
      <c r="D8" s="3">
        <v>2.746</v>
      </c>
      <c r="E8" s="3">
        <v>1.993</v>
      </c>
      <c r="F8" s="3">
        <v>0.328</v>
      </c>
      <c r="G8" s="3">
        <v>0.8</v>
      </c>
      <c r="H8" s="3">
        <v>0.858</v>
      </c>
      <c r="I8" s="3">
        <f t="shared" si="1"/>
        <v>5.332</v>
      </c>
      <c r="J8" s="3">
        <f t="shared" si="2"/>
        <v>3.666354089</v>
      </c>
      <c r="K8" s="3">
        <f t="shared" si="3"/>
        <v>0.41</v>
      </c>
    </row>
    <row r="9">
      <c r="A9" s="2">
        <v>8.0</v>
      </c>
      <c r="B9" s="3">
        <v>20.191</v>
      </c>
      <c r="C9" s="3">
        <v>1.807</v>
      </c>
      <c r="D9" s="3">
        <v>3.285</v>
      </c>
      <c r="E9" s="3">
        <v>2.097</v>
      </c>
      <c r="F9" s="3">
        <v>0.494</v>
      </c>
      <c r="G9" s="3">
        <v>1.188</v>
      </c>
      <c r="H9" s="3">
        <v>0.566</v>
      </c>
      <c r="I9" s="3">
        <f t="shared" si="1"/>
        <v>5.092</v>
      </c>
      <c r="J9" s="3">
        <f t="shared" si="2"/>
        <v>3.965239592</v>
      </c>
      <c r="K9" s="3">
        <f t="shared" si="3"/>
        <v>0.4158249158</v>
      </c>
    </row>
    <row r="10">
      <c r="A10" s="2">
        <v>9.0</v>
      </c>
      <c r="B10" s="3">
        <v>17.34</v>
      </c>
      <c r="C10" s="3">
        <v>2.426</v>
      </c>
      <c r="D10" s="3">
        <v>2.475</v>
      </c>
      <c r="E10" s="3">
        <v>1.891</v>
      </c>
      <c r="F10" s="3">
        <v>0.431</v>
      </c>
      <c r="G10" s="3">
        <v>0.965</v>
      </c>
      <c r="H10" s="3">
        <v>0.637</v>
      </c>
      <c r="I10" s="3">
        <f t="shared" si="1"/>
        <v>4.901</v>
      </c>
      <c r="J10" s="3">
        <f t="shared" si="2"/>
        <v>3.538053458</v>
      </c>
      <c r="K10" s="3">
        <f t="shared" si="3"/>
        <v>0.4466321244</v>
      </c>
    </row>
    <row r="11">
      <c r="A11" s="2">
        <v>10.0</v>
      </c>
      <c r="B11" s="4">
        <v>16.662</v>
      </c>
      <c r="C11" s="4">
        <v>2.337</v>
      </c>
      <c r="D11" s="4">
        <v>3.1</v>
      </c>
      <c r="E11" s="4">
        <v>1.945</v>
      </c>
      <c r="F11" s="4">
        <v>0.421</v>
      </c>
      <c r="G11" s="4">
        <v>1.299</v>
      </c>
      <c r="H11" s="4">
        <v>0.632</v>
      </c>
      <c r="I11" s="3">
        <f t="shared" si="1"/>
        <v>5.437</v>
      </c>
      <c r="J11" s="3">
        <f t="shared" si="2"/>
        <v>3.06455766</v>
      </c>
      <c r="K11" s="3">
        <f t="shared" si="3"/>
        <v>0.324095458</v>
      </c>
    </row>
    <row r="12">
      <c r="A12" s="2">
        <v>11.0</v>
      </c>
      <c r="B12" s="4">
        <v>19.713</v>
      </c>
      <c r="C12" s="4">
        <v>2.393</v>
      </c>
      <c r="D12" s="4">
        <v>2.883</v>
      </c>
      <c r="E12" s="4">
        <v>1.993</v>
      </c>
      <c r="F12" s="4">
        <v>0.424</v>
      </c>
      <c r="G12" s="4">
        <v>1.119</v>
      </c>
      <c r="H12" s="4">
        <v>0.473</v>
      </c>
      <c r="I12" s="3">
        <f t="shared" si="1"/>
        <v>5.276</v>
      </c>
      <c r="J12" s="3">
        <f t="shared" si="2"/>
        <v>3.736353298</v>
      </c>
      <c r="K12" s="3">
        <f t="shared" si="3"/>
        <v>0.3789097408</v>
      </c>
    </row>
    <row r="13">
      <c r="A13" s="2">
        <v>12.0</v>
      </c>
      <c r="B13" s="4">
        <v>17.097</v>
      </c>
      <c r="C13" s="4">
        <v>2.443</v>
      </c>
      <c r="D13" s="4">
        <v>2.942</v>
      </c>
      <c r="E13" s="4">
        <v>2.005</v>
      </c>
      <c r="F13" s="4">
        <v>0.331</v>
      </c>
      <c r="G13" s="4">
        <v>1.27</v>
      </c>
      <c r="H13" s="4">
        <v>0.51</v>
      </c>
      <c r="I13" s="3">
        <f t="shared" si="1"/>
        <v>5.385</v>
      </c>
      <c r="J13" s="3">
        <f t="shared" si="2"/>
        <v>3.174930362</v>
      </c>
      <c r="K13" s="3">
        <f t="shared" si="3"/>
        <v>0.2606299213</v>
      </c>
    </row>
    <row r="14">
      <c r="A14" s="2">
        <v>13.0</v>
      </c>
      <c r="B14" s="4">
        <v>19.123</v>
      </c>
      <c r="C14" s="4">
        <v>2.393</v>
      </c>
      <c r="D14" s="4">
        <v>3.115</v>
      </c>
      <c r="E14" s="4">
        <v>1.925</v>
      </c>
      <c r="F14" s="4">
        <v>0.476</v>
      </c>
      <c r="G14" s="4">
        <v>1.2</v>
      </c>
      <c r="H14" s="4">
        <v>0.738</v>
      </c>
      <c r="I14" s="3">
        <f t="shared" si="1"/>
        <v>5.508</v>
      </c>
      <c r="J14" s="3">
        <f t="shared" si="2"/>
        <v>3.471859114</v>
      </c>
      <c r="K14" s="3">
        <f t="shared" si="3"/>
        <v>0.3966666667</v>
      </c>
    </row>
    <row r="15">
      <c r="A15" s="2">
        <v>14.0</v>
      </c>
      <c r="B15" s="4">
        <v>21.087</v>
      </c>
      <c r="C15" s="4">
        <v>2.854</v>
      </c>
      <c r="D15" s="4">
        <v>3.148</v>
      </c>
      <c r="E15" s="4">
        <v>2.341</v>
      </c>
      <c r="F15" s="4">
        <v>0.416</v>
      </c>
      <c r="G15" s="4">
        <v>1.168</v>
      </c>
      <c r="H15" s="4">
        <v>0.745</v>
      </c>
      <c r="I15" s="3">
        <f t="shared" si="1"/>
        <v>6.002</v>
      </c>
      <c r="J15" s="3">
        <f t="shared" si="2"/>
        <v>3.51332889</v>
      </c>
      <c r="K15" s="3">
        <f t="shared" si="3"/>
        <v>0.3561643836</v>
      </c>
    </row>
    <row r="16">
      <c r="A16" s="2">
        <v>15.0</v>
      </c>
      <c r="B16" s="4">
        <v>19.52</v>
      </c>
      <c r="C16" s="4">
        <v>2.328</v>
      </c>
      <c r="D16" s="4">
        <v>3.324</v>
      </c>
      <c r="E16" s="4">
        <v>2.152</v>
      </c>
      <c r="F16" s="4">
        <v>0.421</v>
      </c>
      <c r="G16" s="4">
        <v>1.194</v>
      </c>
      <c r="H16" s="4">
        <v>0.67</v>
      </c>
      <c r="I16" s="3">
        <f t="shared" si="1"/>
        <v>5.652</v>
      </c>
      <c r="J16" s="3">
        <f t="shared" si="2"/>
        <v>3.453644728</v>
      </c>
      <c r="K16" s="3">
        <f t="shared" si="3"/>
        <v>0.3525963149</v>
      </c>
    </row>
    <row r="17">
      <c r="A17" s="2">
        <v>16.0</v>
      </c>
      <c r="B17" s="4">
        <v>18.62</v>
      </c>
      <c r="C17" s="4">
        <v>2.167</v>
      </c>
      <c r="D17" s="4">
        <v>2.51</v>
      </c>
      <c r="E17" s="4">
        <v>1.845</v>
      </c>
      <c r="F17" s="4">
        <v>0.429</v>
      </c>
      <c r="G17" s="4">
        <v>1.169</v>
      </c>
      <c r="H17" s="4">
        <v>0.454</v>
      </c>
      <c r="I17" s="3">
        <f t="shared" si="1"/>
        <v>4.677</v>
      </c>
      <c r="J17" s="3">
        <f t="shared" si="2"/>
        <v>3.98118452</v>
      </c>
      <c r="K17" s="3">
        <f t="shared" si="3"/>
        <v>0.3669803251</v>
      </c>
    </row>
    <row r="18">
      <c r="A18" s="2">
        <v>17.0</v>
      </c>
      <c r="B18" s="4">
        <v>15.691</v>
      </c>
      <c r="C18" s="4">
        <v>2.057</v>
      </c>
      <c r="D18" s="4">
        <v>2.943</v>
      </c>
      <c r="E18" s="4">
        <v>2.281</v>
      </c>
      <c r="F18" s="4">
        <v>0.329</v>
      </c>
      <c r="G18" s="4">
        <v>1.108</v>
      </c>
      <c r="H18" s="4">
        <v>0.669</v>
      </c>
      <c r="I18" s="3">
        <f t="shared" si="1"/>
        <v>5</v>
      </c>
      <c r="J18" s="3">
        <f t="shared" si="2"/>
        <v>3.1382</v>
      </c>
      <c r="K18" s="3">
        <f t="shared" si="3"/>
        <v>0.2969314079</v>
      </c>
    </row>
    <row r="19">
      <c r="A19" s="2">
        <v>18.0</v>
      </c>
      <c r="B19" s="4">
        <v>20.294</v>
      </c>
      <c r="C19" s="4">
        <v>2.366</v>
      </c>
      <c r="D19" s="4">
        <v>3.382</v>
      </c>
      <c r="E19" s="4">
        <v>2.494</v>
      </c>
      <c r="F19" s="4">
        <v>0.378</v>
      </c>
      <c r="G19" s="4">
        <v>1.334</v>
      </c>
      <c r="H19" s="4">
        <v>1.015</v>
      </c>
      <c r="I19" s="3">
        <f t="shared" si="1"/>
        <v>5.748</v>
      </c>
      <c r="J19" s="3">
        <f t="shared" si="2"/>
        <v>3.530619346</v>
      </c>
      <c r="K19" s="3">
        <f t="shared" si="3"/>
        <v>0.2833583208</v>
      </c>
    </row>
    <row r="20">
      <c r="A20" s="2">
        <v>19.0</v>
      </c>
      <c r="B20" s="4">
        <v>19.621</v>
      </c>
      <c r="C20" s="4">
        <v>3.798</v>
      </c>
      <c r="D20" s="4">
        <v>3.001</v>
      </c>
      <c r="E20" s="4">
        <v>2.014</v>
      </c>
      <c r="F20" s="4">
        <v>0.487</v>
      </c>
      <c r="G20" s="4">
        <v>1.285</v>
      </c>
      <c r="H20" s="4">
        <v>0.591</v>
      </c>
      <c r="I20" s="3">
        <f t="shared" si="1"/>
        <v>6.799</v>
      </c>
      <c r="J20" s="3">
        <f t="shared" si="2"/>
        <v>2.885865568</v>
      </c>
      <c r="K20" s="3">
        <f t="shared" si="3"/>
        <v>0.3789883268</v>
      </c>
    </row>
    <row r="21" ht="15.75" customHeight="1">
      <c r="A21" s="2">
        <v>20.0</v>
      </c>
      <c r="B21" s="4">
        <v>23.681</v>
      </c>
      <c r="C21" s="4">
        <v>2.627</v>
      </c>
      <c r="D21" s="4">
        <v>3.067</v>
      </c>
      <c r="E21" s="4">
        <v>1.928</v>
      </c>
      <c r="F21" s="4">
        <v>0.436</v>
      </c>
      <c r="G21" s="4">
        <v>1.104</v>
      </c>
      <c r="H21" s="4">
        <v>0.552</v>
      </c>
      <c r="I21" s="3">
        <f t="shared" si="1"/>
        <v>5.694</v>
      </c>
      <c r="J21" s="3">
        <f t="shared" si="2"/>
        <v>4.158939234</v>
      </c>
      <c r="K21" s="3">
        <f t="shared" si="3"/>
        <v>0.3949275362</v>
      </c>
    </row>
    <row r="22" ht="15.75" customHeight="1">
      <c r="A22" s="2">
        <v>21.0</v>
      </c>
      <c r="B22" s="4">
        <v>20.093</v>
      </c>
      <c r="C22" s="4">
        <v>2.37</v>
      </c>
      <c r="D22" s="4">
        <v>2.965</v>
      </c>
      <c r="E22" s="4">
        <v>2.089</v>
      </c>
      <c r="F22" s="4">
        <v>0.369</v>
      </c>
      <c r="G22" s="4">
        <v>1.487</v>
      </c>
      <c r="H22" s="4">
        <v>0.633</v>
      </c>
      <c r="I22" s="3">
        <f t="shared" si="1"/>
        <v>5.335</v>
      </c>
      <c r="J22" s="3">
        <f t="shared" si="2"/>
        <v>3.766260544</v>
      </c>
      <c r="K22" s="3">
        <f t="shared" si="3"/>
        <v>0.2481506389</v>
      </c>
    </row>
    <row r="23" ht="15.75" customHeight="1">
      <c r="A23" s="2">
        <v>22.0</v>
      </c>
      <c r="B23" s="4">
        <v>17.132</v>
      </c>
      <c r="C23" s="4">
        <v>2.588</v>
      </c>
      <c r="D23" s="4">
        <v>2.565</v>
      </c>
      <c r="E23" s="4">
        <v>1.882</v>
      </c>
      <c r="F23" s="4">
        <v>0.352</v>
      </c>
      <c r="G23" s="4">
        <v>1.04</v>
      </c>
      <c r="H23" s="4">
        <v>0.557</v>
      </c>
      <c r="I23" s="3">
        <f t="shared" si="1"/>
        <v>5.153</v>
      </c>
      <c r="J23" s="3">
        <f t="shared" si="2"/>
        <v>3.324665244</v>
      </c>
      <c r="K23" s="3">
        <f t="shared" si="3"/>
        <v>0.3384615385</v>
      </c>
    </row>
    <row r="24" ht="15.75" customHeight="1">
      <c r="A24" s="2">
        <v>23.0</v>
      </c>
      <c r="B24" s="4">
        <v>23.078</v>
      </c>
      <c r="C24" s="4">
        <v>2.629</v>
      </c>
      <c r="D24" s="4">
        <v>3.107</v>
      </c>
      <c r="E24" s="4">
        <v>1.977</v>
      </c>
      <c r="F24" s="4">
        <v>0.541</v>
      </c>
      <c r="G24" s="4">
        <v>1.376</v>
      </c>
      <c r="H24" s="4">
        <v>0.848</v>
      </c>
      <c r="I24" s="3">
        <f t="shared" si="1"/>
        <v>5.736</v>
      </c>
      <c r="J24" s="3">
        <f t="shared" si="2"/>
        <v>4.023361227</v>
      </c>
      <c r="K24" s="3">
        <f t="shared" si="3"/>
        <v>0.3931686047</v>
      </c>
    </row>
    <row r="25" ht="15.75" customHeight="1">
      <c r="A25" s="2">
        <v>24.0</v>
      </c>
      <c r="B25" s="4">
        <v>22.739</v>
      </c>
      <c r="C25" s="4">
        <v>2.412</v>
      </c>
      <c r="D25" s="4">
        <v>3.291</v>
      </c>
      <c r="E25" s="4">
        <v>2.136</v>
      </c>
      <c r="F25" s="4">
        <v>0.605</v>
      </c>
      <c r="G25" s="4">
        <v>1.213</v>
      </c>
      <c r="H25" s="4">
        <v>0.865</v>
      </c>
      <c r="I25" s="3">
        <f t="shared" si="1"/>
        <v>5.703</v>
      </c>
      <c r="J25" s="3">
        <f t="shared" si="2"/>
        <v>3.987199719</v>
      </c>
      <c r="K25" s="3">
        <f t="shared" si="3"/>
        <v>0.4987633965</v>
      </c>
    </row>
    <row r="26" ht="15.75" customHeight="1">
      <c r="A26" s="2">
        <v>25.0</v>
      </c>
      <c r="B26" s="4">
        <v>19.839</v>
      </c>
      <c r="C26" s="4">
        <v>1.977</v>
      </c>
      <c r="D26" s="4">
        <v>2.929</v>
      </c>
      <c r="E26" s="4">
        <v>2.289</v>
      </c>
      <c r="F26" s="4">
        <v>0.372</v>
      </c>
      <c r="G26" s="4">
        <v>1.01</v>
      </c>
      <c r="H26" s="4">
        <v>0.64</v>
      </c>
      <c r="I26" s="3">
        <f t="shared" si="1"/>
        <v>4.906</v>
      </c>
      <c r="J26" s="3">
        <f t="shared" si="2"/>
        <v>4.043823889</v>
      </c>
      <c r="K26" s="3">
        <f t="shared" si="3"/>
        <v>0.3683168317</v>
      </c>
    </row>
    <row r="27" ht="15.75" customHeight="1">
      <c r="A27" s="2">
        <v>26.0</v>
      </c>
      <c r="B27" s="4">
        <v>19.624</v>
      </c>
      <c r="C27" s="4">
        <v>2.698</v>
      </c>
      <c r="D27" s="4">
        <v>3.013</v>
      </c>
      <c r="E27" s="4">
        <v>2.009</v>
      </c>
      <c r="F27" s="4">
        <v>0.438</v>
      </c>
      <c r="G27" s="4">
        <v>1.194</v>
      </c>
      <c r="H27" s="4">
        <v>0.634</v>
      </c>
      <c r="I27" s="3">
        <f t="shared" si="1"/>
        <v>5.711</v>
      </c>
      <c r="J27" s="3">
        <f t="shared" si="2"/>
        <v>3.436175801</v>
      </c>
      <c r="K27" s="3">
        <f t="shared" si="3"/>
        <v>0.3668341709</v>
      </c>
    </row>
    <row r="28" ht="15.75" customHeight="1">
      <c r="A28" s="2">
        <v>27.0</v>
      </c>
      <c r="B28" s="4">
        <v>22.34</v>
      </c>
      <c r="C28" s="4">
        <v>2.546</v>
      </c>
      <c r="D28" s="4">
        <v>3.33</v>
      </c>
      <c r="E28" s="4">
        <v>1.936</v>
      </c>
      <c r="F28" s="4">
        <v>0.538</v>
      </c>
      <c r="G28" s="4">
        <v>1.342</v>
      </c>
      <c r="H28" s="4">
        <v>0.74</v>
      </c>
      <c r="I28" s="3">
        <f t="shared" si="1"/>
        <v>5.876</v>
      </c>
      <c r="J28" s="3">
        <f t="shared" si="2"/>
        <v>3.801906059</v>
      </c>
      <c r="K28" s="3">
        <f t="shared" si="3"/>
        <v>0.4008941878</v>
      </c>
    </row>
    <row r="29" ht="15.75" customHeight="1">
      <c r="A29" s="2">
        <v>28.0</v>
      </c>
      <c r="B29" s="4">
        <v>16.744</v>
      </c>
      <c r="C29" s="4">
        <v>2.004</v>
      </c>
      <c r="D29" s="4">
        <v>3.197</v>
      </c>
      <c r="E29" s="4">
        <v>1.919</v>
      </c>
      <c r="F29" s="4">
        <v>0.484</v>
      </c>
      <c r="G29" s="4">
        <v>1.148</v>
      </c>
      <c r="H29" s="4">
        <v>0.504</v>
      </c>
      <c r="I29" s="3">
        <f t="shared" si="1"/>
        <v>5.201</v>
      </c>
      <c r="J29" s="3">
        <f t="shared" si="2"/>
        <v>3.219380888</v>
      </c>
      <c r="K29" s="3">
        <f t="shared" si="3"/>
        <v>0.4216027875</v>
      </c>
    </row>
    <row r="30" ht="15.75" customHeight="1">
      <c r="A30" s="2">
        <v>29.0</v>
      </c>
      <c r="B30" s="4">
        <v>23.153</v>
      </c>
      <c r="C30" s="4">
        <v>2.792</v>
      </c>
      <c r="D30" s="4">
        <v>3.536</v>
      </c>
      <c r="E30" s="4">
        <v>2.251</v>
      </c>
      <c r="F30" s="4">
        <v>0.588</v>
      </c>
      <c r="G30" s="4">
        <v>1.296</v>
      </c>
      <c r="H30" s="4">
        <v>0.838</v>
      </c>
      <c r="I30" s="3">
        <f t="shared" si="1"/>
        <v>6.328</v>
      </c>
      <c r="J30" s="3">
        <f t="shared" si="2"/>
        <v>3.658817952</v>
      </c>
      <c r="K30" s="3">
        <f t="shared" si="3"/>
        <v>0.4537037037</v>
      </c>
    </row>
    <row r="31" ht="15.75" customHeight="1">
      <c r="A31" s="2">
        <v>30.0</v>
      </c>
      <c r="B31" s="4">
        <v>18.408</v>
      </c>
      <c r="C31" s="4">
        <v>2.753</v>
      </c>
      <c r="D31" s="4">
        <v>2.841</v>
      </c>
      <c r="E31" s="4">
        <v>2.288</v>
      </c>
      <c r="F31" s="4">
        <v>0.335</v>
      </c>
      <c r="G31" s="4">
        <v>1.214</v>
      </c>
      <c r="H31" s="4">
        <v>0.657</v>
      </c>
      <c r="I31" s="3">
        <f t="shared" si="1"/>
        <v>5.594</v>
      </c>
      <c r="J31" s="3">
        <f t="shared" si="2"/>
        <v>3.290668573</v>
      </c>
      <c r="K31" s="3">
        <f t="shared" si="3"/>
        <v>0.2759472817</v>
      </c>
    </row>
    <row r="32" ht="15.75" customHeight="1">
      <c r="A32" s="2" t="s">
        <v>11</v>
      </c>
      <c r="B32" s="3">
        <f t="shared" ref="B32:K32" si="4">AVERAGE(B2:B31)</f>
        <v>19.93033333</v>
      </c>
      <c r="C32" s="3">
        <f t="shared" si="4"/>
        <v>2.454233333</v>
      </c>
      <c r="D32" s="3">
        <f t="shared" si="4"/>
        <v>3.006733333</v>
      </c>
      <c r="E32" s="3">
        <f t="shared" si="4"/>
        <v>2.061066667</v>
      </c>
      <c r="F32" s="3">
        <f t="shared" si="4"/>
        <v>0.4238</v>
      </c>
      <c r="G32" s="3">
        <f t="shared" si="4"/>
        <v>1.168466667</v>
      </c>
      <c r="H32" s="3">
        <f t="shared" si="4"/>
        <v>0.6486333333</v>
      </c>
      <c r="I32" s="3">
        <f t="shared" si="4"/>
        <v>5.460966667</v>
      </c>
      <c r="J32" s="3">
        <f t="shared" si="4"/>
        <v>3.658434923</v>
      </c>
      <c r="K32" s="3">
        <f t="shared" si="4"/>
        <v>0.3644890527</v>
      </c>
    </row>
    <row r="33" ht="15.75" customHeight="1">
      <c r="A33" s="2" t="s">
        <v>12</v>
      </c>
      <c r="B33" s="3">
        <f t="shared" ref="B33:K33" si="5">STDEV(B2:B31)</f>
        <v>2.119143326</v>
      </c>
      <c r="C33" s="3">
        <f t="shared" si="5"/>
        <v>0.3529773543</v>
      </c>
      <c r="D33" s="3">
        <f t="shared" si="5"/>
        <v>0.2949375075</v>
      </c>
      <c r="E33" s="3">
        <f t="shared" si="5"/>
        <v>0.1677756986</v>
      </c>
      <c r="F33" s="3">
        <f t="shared" si="5"/>
        <v>0.0801896029</v>
      </c>
      <c r="G33" s="3">
        <f t="shared" si="5"/>
        <v>0.1412600276</v>
      </c>
      <c r="H33" s="3">
        <f t="shared" si="5"/>
        <v>0.1439229879</v>
      </c>
      <c r="I33" s="3">
        <f t="shared" si="5"/>
        <v>0.4504949373</v>
      </c>
      <c r="J33" s="3">
        <f t="shared" si="5"/>
        <v>0.3590227297</v>
      </c>
      <c r="K33" s="3">
        <f t="shared" si="5"/>
        <v>0.06185990649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32.946</v>
      </c>
      <c r="C2" s="3">
        <v>3.409</v>
      </c>
      <c r="D2" s="3">
        <v>3.934</v>
      </c>
      <c r="E2" s="3">
        <v>2.585</v>
      </c>
      <c r="F2" s="3">
        <v>0.894</v>
      </c>
      <c r="G2" s="3">
        <v>1.922</v>
      </c>
      <c r="H2" s="3">
        <v>1.267</v>
      </c>
      <c r="I2" s="3">
        <f t="shared" ref="I2:I31" si="1">C2+D2</f>
        <v>7.343</v>
      </c>
      <c r="J2" s="3">
        <f t="shared" ref="J2:J31" si="2">B2/I2</f>
        <v>4.486722048</v>
      </c>
      <c r="K2" s="3">
        <f t="shared" ref="K2:K31" si="3">F2/G2</f>
        <v>0.4651404787</v>
      </c>
    </row>
    <row r="3">
      <c r="A3" s="2">
        <v>2.0</v>
      </c>
      <c r="B3" s="3">
        <v>26.852</v>
      </c>
      <c r="C3" s="3">
        <v>2.945</v>
      </c>
      <c r="D3" s="3">
        <v>4.12</v>
      </c>
      <c r="E3" s="3">
        <v>1.914</v>
      </c>
      <c r="F3" s="3">
        <v>0.624</v>
      </c>
      <c r="G3" s="3">
        <v>1.82</v>
      </c>
      <c r="H3" s="3">
        <v>1.202</v>
      </c>
      <c r="I3" s="3">
        <f t="shared" si="1"/>
        <v>7.065</v>
      </c>
      <c r="J3" s="3">
        <f t="shared" si="2"/>
        <v>3.800707714</v>
      </c>
      <c r="K3" s="3">
        <f t="shared" si="3"/>
        <v>0.3428571429</v>
      </c>
    </row>
    <row r="4">
      <c r="A4" s="2">
        <v>3.0</v>
      </c>
      <c r="B4" s="3">
        <v>30.887</v>
      </c>
      <c r="C4" s="3">
        <v>3.016</v>
      </c>
      <c r="D4" s="3">
        <v>4.638</v>
      </c>
      <c r="E4" s="3">
        <v>2.588</v>
      </c>
      <c r="F4" s="3">
        <v>0.823</v>
      </c>
      <c r="G4" s="3">
        <v>1.99</v>
      </c>
      <c r="H4" s="3">
        <v>1.396</v>
      </c>
      <c r="I4" s="3">
        <f t="shared" si="1"/>
        <v>7.654</v>
      </c>
      <c r="J4" s="3">
        <f t="shared" si="2"/>
        <v>4.035406323</v>
      </c>
      <c r="K4" s="3">
        <f t="shared" si="3"/>
        <v>0.4135678392</v>
      </c>
    </row>
    <row r="5">
      <c r="A5" s="2">
        <v>4.0</v>
      </c>
      <c r="B5" s="3">
        <v>32.484</v>
      </c>
      <c r="C5" s="3">
        <v>2.824</v>
      </c>
      <c r="D5" s="3">
        <v>4.265</v>
      </c>
      <c r="E5" s="3">
        <v>2.159</v>
      </c>
      <c r="F5" s="3">
        <v>0.636</v>
      </c>
      <c r="G5" s="3">
        <v>1.755</v>
      </c>
      <c r="H5" s="3">
        <v>1.19</v>
      </c>
      <c r="I5" s="3">
        <f t="shared" si="1"/>
        <v>7.089</v>
      </c>
      <c r="J5" s="3">
        <f t="shared" si="2"/>
        <v>4.582310622</v>
      </c>
      <c r="K5" s="3">
        <f t="shared" si="3"/>
        <v>0.3623931624</v>
      </c>
    </row>
    <row r="6">
      <c r="A6" s="2">
        <v>5.0</v>
      </c>
      <c r="B6" s="3">
        <v>26.263</v>
      </c>
      <c r="C6" s="3">
        <v>2.894</v>
      </c>
      <c r="D6" s="3">
        <v>4.142</v>
      </c>
      <c r="E6" s="3">
        <v>2.161</v>
      </c>
      <c r="F6" s="3">
        <v>0.487</v>
      </c>
      <c r="G6" s="3">
        <v>1.524</v>
      </c>
      <c r="H6" s="3">
        <v>1.176</v>
      </c>
      <c r="I6" s="3">
        <f t="shared" si="1"/>
        <v>7.036</v>
      </c>
      <c r="J6" s="3">
        <f t="shared" si="2"/>
        <v>3.732660603</v>
      </c>
      <c r="K6" s="3">
        <f t="shared" si="3"/>
        <v>0.3195538058</v>
      </c>
    </row>
    <row r="7">
      <c r="A7" s="2">
        <v>6.0</v>
      </c>
      <c r="B7" s="3">
        <v>30.568</v>
      </c>
      <c r="C7" s="3">
        <v>2.85</v>
      </c>
      <c r="D7" s="3">
        <v>3.964</v>
      </c>
      <c r="E7" s="3">
        <v>2.411</v>
      </c>
      <c r="F7" s="3">
        <v>0.629</v>
      </c>
      <c r="G7" s="3">
        <v>1.704</v>
      </c>
      <c r="H7" s="3">
        <v>0.895</v>
      </c>
      <c r="I7" s="3">
        <f t="shared" si="1"/>
        <v>6.814</v>
      </c>
      <c r="J7" s="3">
        <f t="shared" si="2"/>
        <v>4.486058116</v>
      </c>
      <c r="K7" s="3">
        <f t="shared" si="3"/>
        <v>0.3691314554</v>
      </c>
    </row>
    <row r="8">
      <c r="A8" s="2">
        <v>7.0</v>
      </c>
      <c r="B8" s="3">
        <v>20.401</v>
      </c>
      <c r="C8" s="3">
        <v>2.367</v>
      </c>
      <c r="D8" s="3">
        <v>3.662</v>
      </c>
      <c r="E8" s="3">
        <v>2.588</v>
      </c>
      <c r="F8" s="3">
        <v>0.572</v>
      </c>
      <c r="G8" s="3">
        <v>1.587</v>
      </c>
      <c r="H8" s="3">
        <v>0.768</v>
      </c>
      <c r="I8" s="3">
        <f t="shared" si="1"/>
        <v>6.029</v>
      </c>
      <c r="J8" s="3">
        <f t="shared" si="2"/>
        <v>3.383811577</v>
      </c>
      <c r="K8" s="3">
        <f t="shared" si="3"/>
        <v>0.3604284814</v>
      </c>
    </row>
    <row r="9">
      <c r="A9" s="2">
        <v>8.0</v>
      </c>
      <c r="B9" s="3">
        <v>31.443</v>
      </c>
      <c r="C9" s="3">
        <v>3.444</v>
      </c>
      <c r="D9" s="3">
        <v>4.147</v>
      </c>
      <c r="E9" s="3">
        <v>2.495</v>
      </c>
      <c r="F9" s="3">
        <v>0.684</v>
      </c>
      <c r="G9" s="3">
        <v>1.768</v>
      </c>
      <c r="H9" s="3">
        <v>1.296</v>
      </c>
      <c r="I9" s="3">
        <f t="shared" si="1"/>
        <v>7.591</v>
      </c>
      <c r="J9" s="3">
        <f t="shared" si="2"/>
        <v>4.14214201</v>
      </c>
      <c r="K9" s="3">
        <f t="shared" si="3"/>
        <v>0.3868778281</v>
      </c>
    </row>
    <row r="10">
      <c r="A10" s="2">
        <v>9.0</v>
      </c>
      <c r="B10" s="3">
        <v>32.202</v>
      </c>
      <c r="C10" s="3">
        <v>3.231</v>
      </c>
      <c r="D10" s="3">
        <v>3.974</v>
      </c>
      <c r="E10" s="3">
        <v>2.479</v>
      </c>
      <c r="F10" s="3">
        <v>0.628</v>
      </c>
      <c r="G10" s="3">
        <v>1.663</v>
      </c>
      <c r="H10" s="3">
        <v>1.092</v>
      </c>
      <c r="I10" s="3">
        <f t="shared" si="1"/>
        <v>7.205</v>
      </c>
      <c r="J10" s="3">
        <f t="shared" si="2"/>
        <v>4.469396253</v>
      </c>
      <c r="K10" s="3">
        <f t="shared" si="3"/>
        <v>0.3776307877</v>
      </c>
    </row>
    <row r="11">
      <c r="A11" s="2">
        <v>10.0</v>
      </c>
      <c r="B11" s="3">
        <v>35.963</v>
      </c>
      <c r="C11" s="3">
        <v>3.065</v>
      </c>
      <c r="D11" s="3">
        <v>4.632</v>
      </c>
      <c r="E11" s="3">
        <v>2.905</v>
      </c>
      <c r="F11" s="3">
        <v>0.689</v>
      </c>
      <c r="G11" s="3">
        <v>1.812</v>
      </c>
      <c r="H11" s="3">
        <v>1.672</v>
      </c>
      <c r="I11" s="3">
        <f t="shared" si="1"/>
        <v>7.697</v>
      </c>
      <c r="J11" s="3">
        <f t="shared" si="2"/>
        <v>4.672339873</v>
      </c>
      <c r="K11" s="3">
        <f t="shared" si="3"/>
        <v>0.3802428256</v>
      </c>
    </row>
    <row r="12">
      <c r="A12" s="2">
        <v>11.0</v>
      </c>
      <c r="B12" s="3">
        <v>28.515</v>
      </c>
      <c r="C12" s="3">
        <v>2.383</v>
      </c>
      <c r="D12" s="3">
        <v>4.014</v>
      </c>
      <c r="E12" s="3">
        <v>2.009</v>
      </c>
      <c r="F12" s="3">
        <v>0.594</v>
      </c>
      <c r="G12" s="3">
        <v>1.638</v>
      </c>
      <c r="H12" s="3">
        <v>0.891</v>
      </c>
      <c r="I12" s="3">
        <f t="shared" si="1"/>
        <v>6.397</v>
      </c>
      <c r="J12" s="3">
        <f t="shared" si="2"/>
        <v>4.45755823</v>
      </c>
      <c r="K12" s="3">
        <f t="shared" si="3"/>
        <v>0.3626373626</v>
      </c>
    </row>
    <row r="13">
      <c r="A13" s="2">
        <v>12.0</v>
      </c>
      <c r="B13" s="3">
        <v>29.25</v>
      </c>
      <c r="C13" s="3">
        <v>3.0</v>
      </c>
      <c r="D13" s="3">
        <v>4.061</v>
      </c>
      <c r="E13" s="3">
        <v>2.184</v>
      </c>
      <c r="F13" s="3">
        <v>0.776</v>
      </c>
      <c r="G13" s="3">
        <v>1.625</v>
      </c>
      <c r="H13" s="3">
        <v>1.127</v>
      </c>
      <c r="I13" s="3">
        <f t="shared" si="1"/>
        <v>7.061</v>
      </c>
      <c r="J13" s="3">
        <f t="shared" si="2"/>
        <v>4.142472738</v>
      </c>
      <c r="K13" s="3">
        <f t="shared" si="3"/>
        <v>0.4775384615</v>
      </c>
    </row>
    <row r="14">
      <c r="A14" s="2">
        <v>13.0</v>
      </c>
      <c r="B14" s="3">
        <v>21.455</v>
      </c>
      <c r="C14" s="3">
        <v>2.46</v>
      </c>
      <c r="D14" s="3">
        <v>3.776</v>
      </c>
      <c r="E14" s="3">
        <v>2.08</v>
      </c>
      <c r="F14" s="3">
        <v>0.537</v>
      </c>
      <c r="G14" s="3">
        <v>1.667</v>
      </c>
      <c r="H14" s="3">
        <v>0.892</v>
      </c>
      <c r="I14" s="3">
        <f t="shared" si="1"/>
        <v>6.236</v>
      </c>
      <c r="J14" s="3">
        <f t="shared" si="2"/>
        <v>3.440506735</v>
      </c>
      <c r="K14" s="3">
        <f t="shared" si="3"/>
        <v>0.3221355729</v>
      </c>
    </row>
    <row r="15">
      <c r="A15" s="2">
        <v>14.0</v>
      </c>
      <c r="B15" s="3">
        <v>25.632</v>
      </c>
      <c r="C15" s="3">
        <v>2.416</v>
      </c>
      <c r="D15" s="3">
        <v>3.84</v>
      </c>
      <c r="E15" s="3">
        <v>1.974</v>
      </c>
      <c r="F15" s="3">
        <v>0.366</v>
      </c>
      <c r="G15" s="3">
        <v>1.49</v>
      </c>
      <c r="H15" s="3">
        <v>0.852</v>
      </c>
      <c r="I15" s="3">
        <f t="shared" si="1"/>
        <v>6.256</v>
      </c>
      <c r="J15" s="3">
        <f t="shared" si="2"/>
        <v>4.097186701</v>
      </c>
      <c r="K15" s="3">
        <f t="shared" si="3"/>
        <v>0.2456375839</v>
      </c>
    </row>
    <row r="16">
      <c r="A16" s="2">
        <v>15.0</v>
      </c>
      <c r="B16" s="3">
        <v>35.57</v>
      </c>
      <c r="C16" s="3">
        <v>3.389</v>
      </c>
      <c r="D16" s="3">
        <v>4.31</v>
      </c>
      <c r="E16" s="3">
        <v>2.689</v>
      </c>
      <c r="F16" s="3">
        <v>0.558</v>
      </c>
      <c r="G16" s="3">
        <v>1.792</v>
      </c>
      <c r="H16" s="3">
        <v>1.576</v>
      </c>
      <c r="I16" s="3">
        <f t="shared" si="1"/>
        <v>7.699</v>
      </c>
      <c r="J16" s="3">
        <f t="shared" si="2"/>
        <v>4.62008053</v>
      </c>
      <c r="K16" s="3">
        <f t="shared" si="3"/>
        <v>0.3113839286</v>
      </c>
    </row>
    <row r="17">
      <c r="A17" s="2">
        <v>16.0</v>
      </c>
      <c r="B17" s="3">
        <v>37.246</v>
      </c>
      <c r="C17" s="3">
        <v>3.791</v>
      </c>
      <c r="D17" s="3">
        <v>3.924</v>
      </c>
      <c r="E17" s="3">
        <v>2.524</v>
      </c>
      <c r="F17" s="3">
        <v>0.743</v>
      </c>
      <c r="G17" s="3">
        <v>1.921</v>
      </c>
      <c r="H17" s="3">
        <v>1.435</v>
      </c>
      <c r="I17" s="3">
        <f t="shared" si="1"/>
        <v>7.715</v>
      </c>
      <c r="J17" s="3">
        <f t="shared" si="2"/>
        <v>4.827738172</v>
      </c>
      <c r="K17" s="3">
        <f t="shared" si="3"/>
        <v>0.3867777199</v>
      </c>
    </row>
    <row r="18">
      <c r="A18" s="2">
        <v>17.0</v>
      </c>
      <c r="B18" s="3">
        <v>26.226</v>
      </c>
      <c r="C18" s="3">
        <v>2.927</v>
      </c>
      <c r="D18" s="3">
        <v>4.073</v>
      </c>
      <c r="E18" s="3">
        <v>2.404</v>
      </c>
      <c r="F18" s="3">
        <v>0.564</v>
      </c>
      <c r="G18" s="3">
        <v>1.543</v>
      </c>
      <c r="H18" s="3">
        <v>0.892</v>
      </c>
      <c r="I18" s="3">
        <f t="shared" si="1"/>
        <v>7</v>
      </c>
      <c r="J18" s="3">
        <f t="shared" si="2"/>
        <v>3.746571429</v>
      </c>
      <c r="K18" s="3">
        <f t="shared" si="3"/>
        <v>0.365521711</v>
      </c>
    </row>
    <row r="19">
      <c r="A19" s="2">
        <v>18.0</v>
      </c>
      <c r="B19" s="3">
        <v>28.223</v>
      </c>
      <c r="C19" s="3">
        <v>2.462</v>
      </c>
      <c r="D19" s="3">
        <v>4.571</v>
      </c>
      <c r="E19" s="3">
        <v>2.218</v>
      </c>
      <c r="F19" s="3">
        <v>0.63</v>
      </c>
      <c r="G19" s="3">
        <v>1.787</v>
      </c>
      <c r="H19" s="3">
        <v>0.843</v>
      </c>
      <c r="I19" s="3">
        <f t="shared" si="1"/>
        <v>7.033</v>
      </c>
      <c r="J19" s="3">
        <f t="shared" si="2"/>
        <v>4.012939002</v>
      </c>
      <c r="K19" s="3">
        <f t="shared" si="3"/>
        <v>0.3525461668</v>
      </c>
    </row>
    <row r="20">
      <c r="A20" s="2">
        <v>19.0</v>
      </c>
      <c r="B20" s="3">
        <v>24.149</v>
      </c>
      <c r="C20" s="3">
        <v>2.5</v>
      </c>
      <c r="D20" s="3">
        <v>3.884</v>
      </c>
      <c r="E20" s="3">
        <v>2.021</v>
      </c>
      <c r="F20" s="3">
        <v>0.493</v>
      </c>
      <c r="G20" s="3">
        <v>1.45</v>
      </c>
      <c r="H20" s="3">
        <v>0.841</v>
      </c>
      <c r="I20" s="3">
        <f t="shared" si="1"/>
        <v>6.384</v>
      </c>
      <c r="J20" s="3">
        <f t="shared" si="2"/>
        <v>3.782738095</v>
      </c>
      <c r="K20" s="3">
        <f t="shared" si="3"/>
        <v>0.34</v>
      </c>
    </row>
    <row r="21" ht="15.75" customHeight="1">
      <c r="A21" s="2">
        <v>20.0</v>
      </c>
      <c r="B21" s="3">
        <v>29.566</v>
      </c>
      <c r="C21" s="3">
        <v>3.142</v>
      </c>
      <c r="D21" s="3">
        <v>4.04</v>
      </c>
      <c r="E21" s="3">
        <v>2.475</v>
      </c>
      <c r="F21" s="3">
        <v>0.693</v>
      </c>
      <c r="G21" s="3">
        <v>1.716</v>
      </c>
      <c r="H21" s="3">
        <v>0.855</v>
      </c>
      <c r="I21" s="3">
        <f t="shared" si="1"/>
        <v>7.182</v>
      </c>
      <c r="J21" s="3">
        <f t="shared" si="2"/>
        <v>4.11668059</v>
      </c>
      <c r="K21" s="3">
        <f t="shared" si="3"/>
        <v>0.4038461538</v>
      </c>
    </row>
    <row r="22" ht="15.75" customHeight="1">
      <c r="A22" s="2">
        <v>21.0</v>
      </c>
      <c r="B22" s="3">
        <v>32.321</v>
      </c>
      <c r="C22" s="3">
        <v>2.944</v>
      </c>
      <c r="D22" s="3">
        <v>4.375</v>
      </c>
      <c r="E22" s="3">
        <v>2.642</v>
      </c>
      <c r="F22" s="3">
        <v>0.604</v>
      </c>
      <c r="G22" s="3">
        <v>1.862</v>
      </c>
      <c r="H22" s="3">
        <v>1.049</v>
      </c>
      <c r="I22" s="3">
        <f t="shared" si="1"/>
        <v>7.319</v>
      </c>
      <c r="J22" s="3">
        <f t="shared" si="2"/>
        <v>4.416040443</v>
      </c>
      <c r="K22" s="3">
        <f t="shared" si="3"/>
        <v>0.3243823845</v>
      </c>
    </row>
    <row r="23" ht="15.75" customHeight="1">
      <c r="A23" s="2">
        <v>22.0</v>
      </c>
      <c r="B23" s="3">
        <v>22.548</v>
      </c>
      <c r="C23" s="3">
        <v>2.65</v>
      </c>
      <c r="D23" s="3">
        <v>3.952</v>
      </c>
      <c r="E23" s="3">
        <v>2.373</v>
      </c>
      <c r="F23" s="3">
        <v>0.527</v>
      </c>
      <c r="G23" s="3">
        <v>1.564</v>
      </c>
      <c r="H23" s="3">
        <v>0.747</v>
      </c>
      <c r="I23" s="3">
        <f t="shared" si="1"/>
        <v>6.602</v>
      </c>
      <c r="J23" s="3">
        <f t="shared" si="2"/>
        <v>3.415328688</v>
      </c>
      <c r="K23" s="3">
        <f t="shared" si="3"/>
        <v>0.3369565217</v>
      </c>
    </row>
    <row r="24" ht="15.75" customHeight="1">
      <c r="A24" s="2">
        <v>23.0</v>
      </c>
      <c r="B24" s="3">
        <v>34.562</v>
      </c>
      <c r="C24" s="3">
        <v>2.854</v>
      </c>
      <c r="D24" s="3">
        <v>4.998</v>
      </c>
      <c r="E24" s="3">
        <v>2.796</v>
      </c>
      <c r="F24" s="3">
        <v>0.729</v>
      </c>
      <c r="G24" s="3">
        <v>1.916</v>
      </c>
      <c r="H24" s="3">
        <v>1.543</v>
      </c>
      <c r="I24" s="3">
        <f t="shared" si="1"/>
        <v>7.852</v>
      </c>
      <c r="J24" s="3">
        <f t="shared" si="2"/>
        <v>4.4016811</v>
      </c>
      <c r="K24" s="3">
        <f t="shared" si="3"/>
        <v>0.380480167</v>
      </c>
    </row>
    <row r="25" ht="15.75" customHeight="1">
      <c r="A25" s="2">
        <v>24.0</v>
      </c>
      <c r="B25" s="3">
        <v>28.549</v>
      </c>
      <c r="C25" s="3">
        <v>2.816</v>
      </c>
      <c r="D25" s="3">
        <v>4.145</v>
      </c>
      <c r="E25" s="3">
        <v>2.102</v>
      </c>
      <c r="F25" s="3">
        <v>0.577</v>
      </c>
      <c r="G25" s="3">
        <v>1.594</v>
      </c>
      <c r="H25" s="3">
        <v>1.009</v>
      </c>
      <c r="I25" s="3">
        <f t="shared" si="1"/>
        <v>6.961</v>
      </c>
      <c r="J25" s="3">
        <f t="shared" si="2"/>
        <v>4.101278552</v>
      </c>
      <c r="K25" s="3">
        <f t="shared" si="3"/>
        <v>0.3619824341</v>
      </c>
    </row>
    <row r="26" ht="15.75" customHeight="1">
      <c r="A26" s="2">
        <v>25.0</v>
      </c>
      <c r="B26" s="3">
        <v>30.639</v>
      </c>
      <c r="C26" s="3">
        <v>3.165</v>
      </c>
      <c r="D26" s="3">
        <v>4.452</v>
      </c>
      <c r="E26" s="3">
        <v>2.743</v>
      </c>
      <c r="F26" s="3">
        <v>0.611</v>
      </c>
      <c r="G26" s="3">
        <v>1.871</v>
      </c>
      <c r="H26" s="3">
        <v>1.243</v>
      </c>
      <c r="I26" s="3">
        <f t="shared" si="1"/>
        <v>7.617</v>
      </c>
      <c r="J26" s="3">
        <f t="shared" si="2"/>
        <v>4.022449783</v>
      </c>
      <c r="K26" s="3">
        <f t="shared" si="3"/>
        <v>0.3265633351</v>
      </c>
    </row>
    <row r="27" ht="15.75" customHeight="1">
      <c r="A27" s="2">
        <v>26.0</v>
      </c>
      <c r="B27" s="3">
        <v>34.154</v>
      </c>
      <c r="C27" s="3">
        <v>2.8005</v>
      </c>
      <c r="D27" s="3">
        <v>4.9</v>
      </c>
      <c r="E27" s="3">
        <v>2.573</v>
      </c>
      <c r="F27" s="3">
        <v>0.725</v>
      </c>
      <c r="G27" s="3">
        <v>1.823</v>
      </c>
      <c r="H27" s="3">
        <v>1.597</v>
      </c>
      <c r="I27" s="3">
        <f t="shared" si="1"/>
        <v>7.7005</v>
      </c>
      <c r="J27" s="3">
        <f t="shared" si="2"/>
        <v>4.435296409</v>
      </c>
      <c r="K27" s="3">
        <f t="shared" si="3"/>
        <v>0.3976961053</v>
      </c>
    </row>
    <row r="28" ht="15.75" customHeight="1">
      <c r="A28" s="2">
        <v>27.0</v>
      </c>
      <c r="B28" s="3">
        <v>23.393</v>
      </c>
      <c r="C28" s="3">
        <v>2.725</v>
      </c>
      <c r="D28" s="3">
        <v>3.806</v>
      </c>
      <c r="E28" s="3">
        <v>2.091</v>
      </c>
      <c r="F28" s="3">
        <v>0.564</v>
      </c>
      <c r="G28" s="3">
        <v>1.51</v>
      </c>
      <c r="H28" s="3">
        <v>0.764</v>
      </c>
      <c r="I28" s="3">
        <f t="shared" si="1"/>
        <v>6.531</v>
      </c>
      <c r="J28" s="3">
        <f t="shared" si="2"/>
        <v>3.581840453</v>
      </c>
      <c r="K28" s="3">
        <f t="shared" si="3"/>
        <v>0.3735099338</v>
      </c>
    </row>
    <row r="29" ht="15.75" customHeight="1">
      <c r="A29" s="2">
        <v>28.0</v>
      </c>
      <c r="B29" s="3">
        <v>20.579</v>
      </c>
      <c r="C29" s="3">
        <v>2.792</v>
      </c>
      <c r="D29" s="3">
        <v>3.649</v>
      </c>
      <c r="E29" s="3">
        <v>1.996</v>
      </c>
      <c r="F29" s="3">
        <v>0.536</v>
      </c>
      <c r="G29" s="3">
        <v>1.489</v>
      </c>
      <c r="H29" s="3">
        <v>0.783</v>
      </c>
      <c r="I29" s="3">
        <f t="shared" si="1"/>
        <v>6.441</v>
      </c>
      <c r="J29" s="3">
        <f t="shared" si="2"/>
        <v>3.195000776</v>
      </c>
      <c r="K29" s="3">
        <f t="shared" si="3"/>
        <v>0.3599731363</v>
      </c>
    </row>
    <row r="30" ht="15.75" customHeight="1">
      <c r="A30" s="2">
        <v>29.0</v>
      </c>
      <c r="B30" s="3">
        <v>27.215</v>
      </c>
      <c r="C30" s="3">
        <v>2.833</v>
      </c>
      <c r="D30" s="3">
        <v>4.305</v>
      </c>
      <c r="E30" s="3">
        <v>2.368</v>
      </c>
      <c r="F30" s="3">
        <v>0.622</v>
      </c>
      <c r="G30" s="3">
        <v>1.842</v>
      </c>
      <c r="H30" s="3">
        <v>1.1</v>
      </c>
      <c r="I30" s="3">
        <f t="shared" si="1"/>
        <v>7.138</v>
      </c>
      <c r="J30" s="3">
        <f t="shared" si="2"/>
        <v>3.812692631</v>
      </c>
      <c r="K30" s="3">
        <f t="shared" si="3"/>
        <v>0.3376764387</v>
      </c>
    </row>
    <row r="31" ht="15.75" customHeight="1">
      <c r="A31" s="2">
        <v>30.0</v>
      </c>
      <c r="B31" s="3">
        <v>20.115</v>
      </c>
      <c r="C31" s="3">
        <v>2.307</v>
      </c>
      <c r="D31" s="3">
        <v>3.473</v>
      </c>
      <c r="E31" s="3">
        <v>1.979</v>
      </c>
      <c r="F31" s="3">
        <v>0.381</v>
      </c>
      <c r="G31" s="3">
        <v>1.395</v>
      </c>
      <c r="H31" s="3">
        <v>0.649</v>
      </c>
      <c r="I31" s="3">
        <f t="shared" si="1"/>
        <v>5.78</v>
      </c>
      <c r="J31" s="3">
        <f t="shared" si="2"/>
        <v>3.480103806</v>
      </c>
      <c r="K31" s="3">
        <f t="shared" si="3"/>
        <v>0.2731182796</v>
      </c>
    </row>
    <row r="32" ht="15.75" customHeight="1">
      <c r="A32" s="2" t="s">
        <v>13</v>
      </c>
      <c r="B32" s="3">
        <f t="shared" ref="B32:K32" si="4">AVERAGE(B2:B31)</f>
        <v>28.66386667</v>
      </c>
      <c r="C32" s="3">
        <f t="shared" si="4"/>
        <v>2.88005</v>
      </c>
      <c r="D32" s="3">
        <f t="shared" si="4"/>
        <v>4.1342</v>
      </c>
      <c r="E32" s="3">
        <f t="shared" si="4"/>
        <v>2.350866667</v>
      </c>
      <c r="F32" s="3">
        <f t="shared" si="4"/>
        <v>0.6165333333</v>
      </c>
      <c r="G32" s="3">
        <f t="shared" si="4"/>
        <v>1.701333333</v>
      </c>
      <c r="H32" s="3">
        <f t="shared" si="4"/>
        <v>1.088066667</v>
      </c>
      <c r="I32" s="3">
        <f t="shared" si="4"/>
        <v>7.01425</v>
      </c>
      <c r="J32" s="3">
        <f t="shared" si="4"/>
        <v>4.063258</v>
      </c>
      <c r="K32" s="3">
        <f t="shared" si="4"/>
        <v>0.3606062401</v>
      </c>
    </row>
    <row r="33" ht="15.75" customHeight="1">
      <c r="A33" s="2" t="s">
        <v>14</v>
      </c>
      <c r="B33" s="3">
        <f t="shared" ref="B33:K33" si="5">STDEV(B2:B31)</f>
        <v>4.879584534</v>
      </c>
      <c r="C33" s="3">
        <f t="shared" si="5"/>
        <v>0.3566699032</v>
      </c>
      <c r="D33" s="3">
        <f t="shared" si="5"/>
        <v>0.3594534549</v>
      </c>
      <c r="E33" s="3">
        <f t="shared" si="5"/>
        <v>0.2821389647</v>
      </c>
      <c r="F33" s="3">
        <f t="shared" si="5"/>
        <v>0.1154202914</v>
      </c>
      <c r="G33" s="3">
        <f t="shared" si="5"/>
        <v>0.161970907</v>
      </c>
      <c r="H33" s="3">
        <f t="shared" si="5"/>
        <v>0.2873066286</v>
      </c>
      <c r="I33" s="3">
        <f t="shared" si="5"/>
        <v>0.5639818221</v>
      </c>
      <c r="J33" s="3">
        <f t="shared" si="5"/>
        <v>0.4405589419</v>
      </c>
      <c r="K33" s="3">
        <f t="shared" si="5"/>
        <v>0.04704737836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6.958</v>
      </c>
      <c r="C2" s="3">
        <v>1.627</v>
      </c>
      <c r="D2" s="3">
        <v>2.056</v>
      </c>
      <c r="E2" s="3">
        <v>1.321</v>
      </c>
      <c r="F2" s="3">
        <v>0.301</v>
      </c>
      <c r="G2" s="3">
        <v>0.797</v>
      </c>
      <c r="H2" s="3">
        <v>0.247</v>
      </c>
      <c r="I2" s="3">
        <f t="shared" ref="I2:I31" si="1">C2+D2</f>
        <v>3.683</v>
      </c>
      <c r="J2" s="3">
        <f t="shared" ref="J2:J31" si="2">B2/I2</f>
        <v>1.889220744</v>
      </c>
      <c r="K2" s="3">
        <f t="shared" ref="K2:K31" si="3">F2/G2</f>
        <v>0.3776662484</v>
      </c>
    </row>
    <row r="3">
      <c r="A3" s="2">
        <v>2.0</v>
      </c>
      <c r="B3" s="3">
        <v>5.42</v>
      </c>
      <c r="C3" s="3">
        <v>1.194</v>
      </c>
      <c r="D3" s="3">
        <v>1.822</v>
      </c>
      <c r="E3" s="3">
        <v>1.212</v>
      </c>
      <c r="F3" s="3">
        <v>0.233</v>
      </c>
      <c r="G3" s="3">
        <v>0.589</v>
      </c>
      <c r="H3" s="3">
        <v>0.176</v>
      </c>
      <c r="I3" s="3">
        <f t="shared" si="1"/>
        <v>3.016</v>
      </c>
      <c r="J3" s="3">
        <f t="shared" si="2"/>
        <v>1.797082228</v>
      </c>
      <c r="K3" s="3">
        <f t="shared" si="3"/>
        <v>0.3955857385</v>
      </c>
    </row>
    <row r="4">
      <c r="A4" s="2">
        <v>3.0</v>
      </c>
      <c r="B4" s="3">
        <v>6.551</v>
      </c>
      <c r="C4" s="3">
        <v>1.549</v>
      </c>
      <c r="D4" s="3">
        <v>1.72</v>
      </c>
      <c r="E4" s="3">
        <v>1.251</v>
      </c>
      <c r="F4" s="3">
        <v>0.271</v>
      </c>
      <c r="G4" s="3">
        <v>0.702</v>
      </c>
      <c r="H4" s="3">
        <v>0.254</v>
      </c>
      <c r="I4" s="3">
        <f t="shared" si="1"/>
        <v>3.269</v>
      </c>
      <c r="J4" s="3">
        <f t="shared" si="2"/>
        <v>2.003976751</v>
      </c>
      <c r="K4" s="3">
        <f t="shared" si="3"/>
        <v>0.386039886</v>
      </c>
    </row>
    <row r="5">
      <c r="A5" s="2">
        <v>4.0</v>
      </c>
      <c r="B5" s="3">
        <v>5.292</v>
      </c>
      <c r="C5" s="3">
        <v>1.64</v>
      </c>
      <c r="D5" s="3">
        <v>1.849</v>
      </c>
      <c r="E5" s="3">
        <v>1.167</v>
      </c>
      <c r="F5" s="3">
        <v>0.31</v>
      </c>
      <c r="G5" s="3">
        <v>0.663</v>
      </c>
      <c r="H5" s="3">
        <v>0.194</v>
      </c>
      <c r="I5" s="3">
        <f t="shared" si="1"/>
        <v>3.489</v>
      </c>
      <c r="J5" s="3">
        <f t="shared" si="2"/>
        <v>1.516766982</v>
      </c>
      <c r="K5" s="3">
        <f t="shared" si="3"/>
        <v>0.467571644</v>
      </c>
    </row>
    <row r="6">
      <c r="A6" s="2">
        <v>5.0</v>
      </c>
      <c r="B6" s="3">
        <v>5.918</v>
      </c>
      <c r="C6" s="3">
        <v>1.568</v>
      </c>
      <c r="D6" s="3">
        <v>1.676</v>
      </c>
      <c r="E6" s="3">
        <v>1.123</v>
      </c>
      <c r="F6" s="3">
        <v>0.295</v>
      </c>
      <c r="G6" s="3">
        <v>0.63</v>
      </c>
      <c r="H6" s="3">
        <v>0.214</v>
      </c>
      <c r="I6" s="3">
        <f t="shared" si="1"/>
        <v>3.244</v>
      </c>
      <c r="J6" s="3">
        <f t="shared" si="2"/>
        <v>1.824290999</v>
      </c>
      <c r="K6" s="3">
        <f t="shared" si="3"/>
        <v>0.4682539683</v>
      </c>
    </row>
    <row r="7">
      <c r="A7" s="2">
        <v>6.0</v>
      </c>
      <c r="B7" s="3">
        <v>6.349</v>
      </c>
      <c r="C7" s="3">
        <v>1.426</v>
      </c>
      <c r="D7" s="3">
        <v>1.989</v>
      </c>
      <c r="E7" s="3">
        <v>1.337</v>
      </c>
      <c r="F7" s="3">
        <v>0.381</v>
      </c>
      <c r="G7" s="3">
        <v>0.689</v>
      </c>
      <c r="H7" s="3">
        <v>0.241</v>
      </c>
      <c r="I7" s="3">
        <f t="shared" si="1"/>
        <v>3.415</v>
      </c>
      <c r="J7" s="3">
        <f t="shared" si="2"/>
        <v>1.859150805</v>
      </c>
      <c r="K7" s="3">
        <f t="shared" si="3"/>
        <v>0.5529753266</v>
      </c>
    </row>
    <row r="8">
      <c r="A8" s="2">
        <v>7.0</v>
      </c>
      <c r="B8" s="3">
        <v>7.271</v>
      </c>
      <c r="C8" s="3">
        <v>1.575</v>
      </c>
      <c r="D8" s="3">
        <v>2.132</v>
      </c>
      <c r="E8" s="3">
        <v>1.26</v>
      </c>
      <c r="F8" s="3">
        <v>0.351</v>
      </c>
      <c r="G8" s="3">
        <v>0.777</v>
      </c>
      <c r="H8" s="3">
        <v>0.3</v>
      </c>
      <c r="I8" s="3">
        <f t="shared" si="1"/>
        <v>3.707</v>
      </c>
      <c r="J8" s="3">
        <f t="shared" si="2"/>
        <v>1.961424332</v>
      </c>
      <c r="K8" s="3">
        <f t="shared" si="3"/>
        <v>0.4517374517</v>
      </c>
    </row>
    <row r="9">
      <c r="A9" s="2">
        <v>8.0</v>
      </c>
      <c r="B9" s="3">
        <v>7.975</v>
      </c>
      <c r="C9" s="3">
        <v>1.648</v>
      </c>
      <c r="D9" s="3">
        <v>1.916</v>
      </c>
      <c r="E9" s="3">
        <v>1.496</v>
      </c>
      <c r="F9" s="3">
        <v>0.3</v>
      </c>
      <c r="G9" s="3">
        <v>0.809</v>
      </c>
      <c r="H9" s="3">
        <v>0.2</v>
      </c>
      <c r="I9" s="3">
        <f t="shared" si="1"/>
        <v>3.564</v>
      </c>
      <c r="J9" s="3">
        <f t="shared" si="2"/>
        <v>2.237654321</v>
      </c>
      <c r="K9" s="3">
        <f t="shared" si="3"/>
        <v>0.3708281829</v>
      </c>
    </row>
    <row r="10">
      <c r="A10" s="2">
        <v>9.0</v>
      </c>
      <c r="B10" s="3">
        <v>6.4</v>
      </c>
      <c r="C10" s="3">
        <v>1.582</v>
      </c>
      <c r="D10" s="3">
        <v>2.045</v>
      </c>
      <c r="E10" s="3">
        <v>1.413</v>
      </c>
      <c r="F10" s="3">
        <v>0.3</v>
      </c>
      <c r="G10" s="3">
        <v>0.809</v>
      </c>
      <c r="H10" s="3">
        <v>0.253</v>
      </c>
      <c r="I10" s="3">
        <f t="shared" si="1"/>
        <v>3.627</v>
      </c>
      <c r="J10" s="3">
        <f t="shared" si="2"/>
        <v>1.7645437</v>
      </c>
      <c r="K10" s="3">
        <f t="shared" si="3"/>
        <v>0.3708281829</v>
      </c>
    </row>
    <row r="11">
      <c r="A11" s="2">
        <v>10.0</v>
      </c>
      <c r="B11" s="4">
        <v>6.693</v>
      </c>
      <c r="C11" s="4">
        <v>1.646</v>
      </c>
      <c r="D11" s="4">
        <v>2.02</v>
      </c>
      <c r="E11" s="4">
        <v>1.225</v>
      </c>
      <c r="F11" s="4">
        <v>0.317</v>
      </c>
      <c r="G11" s="4">
        <v>0.732</v>
      </c>
      <c r="H11" s="4">
        <v>0.252</v>
      </c>
      <c r="I11" s="3">
        <f t="shared" si="1"/>
        <v>3.666</v>
      </c>
      <c r="J11" s="3">
        <f t="shared" si="2"/>
        <v>1.825695581</v>
      </c>
      <c r="K11" s="3">
        <f t="shared" si="3"/>
        <v>0.4330601093</v>
      </c>
    </row>
    <row r="12">
      <c r="A12" s="2">
        <v>11.0</v>
      </c>
      <c r="B12" s="4">
        <v>6.927</v>
      </c>
      <c r="C12" s="4">
        <v>1.566</v>
      </c>
      <c r="D12" s="4">
        <v>1.879</v>
      </c>
      <c r="E12" s="4">
        <v>1.33</v>
      </c>
      <c r="F12" s="4">
        <v>0.235</v>
      </c>
      <c r="G12" s="4">
        <v>0.644</v>
      </c>
      <c r="H12" s="4">
        <v>0.212</v>
      </c>
      <c r="I12" s="3">
        <f t="shared" si="1"/>
        <v>3.445</v>
      </c>
      <c r="J12" s="3">
        <f t="shared" si="2"/>
        <v>2.010740203</v>
      </c>
      <c r="K12" s="3">
        <f t="shared" si="3"/>
        <v>0.3649068323</v>
      </c>
    </row>
    <row r="13">
      <c r="A13" s="2">
        <v>12.0</v>
      </c>
      <c r="B13" s="4">
        <v>7.517</v>
      </c>
      <c r="C13" s="4">
        <v>1.461</v>
      </c>
      <c r="D13" s="4">
        <v>2.11</v>
      </c>
      <c r="E13" s="4">
        <v>1.253</v>
      </c>
      <c r="F13" s="4">
        <v>0.306</v>
      </c>
      <c r="G13" s="4">
        <v>0.834</v>
      </c>
      <c r="H13" s="4">
        <v>0.303</v>
      </c>
      <c r="I13" s="3">
        <f t="shared" si="1"/>
        <v>3.571</v>
      </c>
      <c r="J13" s="3">
        <f t="shared" si="2"/>
        <v>2.105012602</v>
      </c>
      <c r="K13" s="3">
        <f t="shared" si="3"/>
        <v>0.3669064748</v>
      </c>
    </row>
    <row r="14">
      <c r="A14" s="2">
        <v>13.0</v>
      </c>
      <c r="B14" s="4">
        <v>8.672</v>
      </c>
      <c r="C14" s="4">
        <v>1.575</v>
      </c>
      <c r="D14" s="4">
        <v>2.18</v>
      </c>
      <c r="E14" s="4">
        <v>1.387</v>
      </c>
      <c r="F14" s="4">
        <v>0.37</v>
      </c>
      <c r="G14" s="4">
        <v>0.649</v>
      </c>
      <c r="H14" s="4">
        <v>0.306</v>
      </c>
      <c r="I14" s="3">
        <f t="shared" si="1"/>
        <v>3.755</v>
      </c>
      <c r="J14" s="3">
        <f t="shared" si="2"/>
        <v>2.309454061</v>
      </c>
      <c r="K14" s="3">
        <f t="shared" si="3"/>
        <v>0.5701078582</v>
      </c>
    </row>
    <row r="15">
      <c r="A15" s="2">
        <v>14.0</v>
      </c>
      <c r="B15" s="4">
        <v>7.803</v>
      </c>
      <c r="C15" s="4">
        <v>1.486</v>
      </c>
      <c r="D15" s="4">
        <v>2.269</v>
      </c>
      <c r="E15" s="4">
        <v>1.318</v>
      </c>
      <c r="F15" s="4">
        <v>0.312</v>
      </c>
      <c r="G15" s="4">
        <v>0.754</v>
      </c>
      <c r="H15" s="4">
        <v>0.301</v>
      </c>
      <c r="I15" s="3">
        <f t="shared" si="1"/>
        <v>3.755</v>
      </c>
      <c r="J15" s="3">
        <f t="shared" si="2"/>
        <v>2.078029294</v>
      </c>
      <c r="K15" s="3">
        <f t="shared" si="3"/>
        <v>0.4137931034</v>
      </c>
    </row>
    <row r="16">
      <c r="A16" s="2">
        <v>15.0</v>
      </c>
      <c r="B16" s="4">
        <v>6.731</v>
      </c>
      <c r="C16" s="4">
        <v>1.55</v>
      </c>
      <c r="D16" s="4">
        <v>2.135</v>
      </c>
      <c r="E16" s="4">
        <v>1.219</v>
      </c>
      <c r="F16" s="4">
        <v>0.26</v>
      </c>
      <c r="G16" s="4">
        <v>0.821</v>
      </c>
      <c r="H16" s="4">
        <v>0.286</v>
      </c>
      <c r="I16" s="3">
        <f t="shared" si="1"/>
        <v>3.685</v>
      </c>
      <c r="J16" s="3">
        <f t="shared" si="2"/>
        <v>1.826594301</v>
      </c>
      <c r="K16" s="3">
        <f t="shared" si="3"/>
        <v>0.3166869671</v>
      </c>
    </row>
    <row r="17">
      <c r="A17" s="2">
        <v>16.0</v>
      </c>
      <c r="B17" s="4">
        <v>7.842</v>
      </c>
      <c r="C17" s="4">
        <v>1.584</v>
      </c>
      <c r="D17" s="4">
        <v>2.278</v>
      </c>
      <c r="E17" s="4">
        <v>1.409</v>
      </c>
      <c r="F17" s="4">
        <v>0.329</v>
      </c>
      <c r="G17" s="4">
        <v>0.729</v>
      </c>
      <c r="H17" s="4">
        <v>0.269</v>
      </c>
      <c r="I17" s="3">
        <f t="shared" si="1"/>
        <v>3.862</v>
      </c>
      <c r="J17" s="3">
        <f t="shared" si="2"/>
        <v>2.030554117</v>
      </c>
      <c r="K17" s="3">
        <f t="shared" si="3"/>
        <v>0.451303155</v>
      </c>
    </row>
    <row r="18">
      <c r="A18" s="2">
        <v>17.0</v>
      </c>
      <c r="B18" s="4">
        <v>8.188</v>
      </c>
      <c r="C18" s="4">
        <v>1.63</v>
      </c>
      <c r="D18" s="4">
        <v>2.135</v>
      </c>
      <c r="E18" s="4">
        <v>1.719</v>
      </c>
      <c r="F18" s="4">
        <v>0.252</v>
      </c>
      <c r="G18" s="4">
        <v>0.658</v>
      </c>
      <c r="H18" s="4">
        <v>0.3</v>
      </c>
      <c r="I18" s="3">
        <f t="shared" si="1"/>
        <v>3.765</v>
      </c>
      <c r="J18" s="3">
        <f t="shared" si="2"/>
        <v>2.174767596</v>
      </c>
      <c r="K18" s="3">
        <f t="shared" si="3"/>
        <v>0.3829787234</v>
      </c>
    </row>
    <row r="19">
      <c r="A19" s="2">
        <v>18.0</v>
      </c>
      <c r="B19" s="4">
        <v>6.577</v>
      </c>
      <c r="C19" s="4">
        <v>1.374</v>
      </c>
      <c r="D19" s="4">
        <v>2.086</v>
      </c>
      <c r="E19" s="4">
        <v>1.178</v>
      </c>
      <c r="F19" s="4">
        <v>0.271</v>
      </c>
      <c r="G19" s="4">
        <v>0.78</v>
      </c>
      <c r="H19" s="4">
        <v>0.262</v>
      </c>
      <c r="I19" s="3">
        <f t="shared" si="1"/>
        <v>3.46</v>
      </c>
      <c r="J19" s="3">
        <f t="shared" si="2"/>
        <v>1.900867052</v>
      </c>
      <c r="K19" s="3">
        <f t="shared" si="3"/>
        <v>0.3474358974</v>
      </c>
    </row>
    <row r="20">
      <c r="A20" s="2">
        <v>19.0</v>
      </c>
      <c r="B20" s="4">
        <v>7.796</v>
      </c>
      <c r="C20" s="4">
        <v>1.551</v>
      </c>
      <c r="D20" s="4">
        <v>2.169</v>
      </c>
      <c r="E20" s="4">
        <v>1.491</v>
      </c>
      <c r="F20" s="4">
        <v>0.414</v>
      </c>
      <c r="G20" s="4">
        <v>0.84</v>
      </c>
      <c r="H20" s="4">
        <v>0.227</v>
      </c>
      <c r="I20" s="3">
        <f t="shared" si="1"/>
        <v>3.72</v>
      </c>
      <c r="J20" s="3">
        <f t="shared" si="2"/>
        <v>2.095698925</v>
      </c>
      <c r="K20" s="3">
        <f t="shared" si="3"/>
        <v>0.4928571429</v>
      </c>
    </row>
    <row r="21" ht="15.75" customHeight="1">
      <c r="A21" s="2">
        <v>20.0</v>
      </c>
      <c r="B21" s="4">
        <v>7.132</v>
      </c>
      <c r="C21" s="4">
        <v>1.267</v>
      </c>
      <c r="D21" s="4">
        <v>1.922</v>
      </c>
      <c r="E21" s="4">
        <v>1.23</v>
      </c>
      <c r="F21" s="4">
        <v>0.275</v>
      </c>
      <c r="G21" s="4">
        <v>0.784</v>
      </c>
      <c r="H21" s="4">
        <v>0.238</v>
      </c>
      <c r="I21" s="3">
        <f t="shared" si="1"/>
        <v>3.189</v>
      </c>
      <c r="J21" s="3">
        <f t="shared" si="2"/>
        <v>2.236437755</v>
      </c>
      <c r="K21" s="3">
        <f t="shared" si="3"/>
        <v>0.3507653061</v>
      </c>
    </row>
    <row r="22" ht="15.75" customHeight="1">
      <c r="A22" s="2">
        <v>21.0</v>
      </c>
      <c r="B22" s="4">
        <v>6.656</v>
      </c>
      <c r="C22" s="4">
        <v>1.568</v>
      </c>
      <c r="D22" s="4">
        <v>2.129</v>
      </c>
      <c r="E22" s="4">
        <v>1.383</v>
      </c>
      <c r="F22" s="4">
        <v>0.3</v>
      </c>
      <c r="G22" s="4">
        <v>0.802</v>
      </c>
      <c r="H22" s="4">
        <v>0.317</v>
      </c>
      <c r="I22" s="3">
        <f t="shared" si="1"/>
        <v>3.697</v>
      </c>
      <c r="J22" s="3">
        <f t="shared" si="2"/>
        <v>1.800378685</v>
      </c>
      <c r="K22" s="3">
        <f t="shared" si="3"/>
        <v>0.3740648379</v>
      </c>
    </row>
    <row r="23" ht="15.75" customHeight="1">
      <c r="A23" s="2">
        <v>22.0</v>
      </c>
      <c r="B23" s="4">
        <v>7.932</v>
      </c>
      <c r="C23" s="4">
        <v>1.56</v>
      </c>
      <c r="D23" s="4">
        <v>2.135</v>
      </c>
      <c r="E23" s="4">
        <v>1.359</v>
      </c>
      <c r="F23" s="4">
        <v>0.318</v>
      </c>
      <c r="G23" s="4">
        <v>0.769</v>
      </c>
      <c r="H23" s="4">
        <v>0.272</v>
      </c>
      <c r="I23" s="3">
        <f t="shared" si="1"/>
        <v>3.695</v>
      </c>
      <c r="J23" s="3">
        <f t="shared" si="2"/>
        <v>2.146684709</v>
      </c>
      <c r="K23" s="3">
        <f t="shared" si="3"/>
        <v>0.4135240572</v>
      </c>
    </row>
    <row r="24" ht="15.75" customHeight="1">
      <c r="A24" s="2">
        <v>23.0</v>
      </c>
      <c r="B24" s="4">
        <v>7.959</v>
      </c>
      <c r="C24" s="4">
        <v>1.695</v>
      </c>
      <c r="D24" s="4">
        <v>2.077</v>
      </c>
      <c r="E24" s="4">
        <v>1.29</v>
      </c>
      <c r="F24" s="4">
        <v>0.442</v>
      </c>
      <c r="G24" s="4">
        <v>0.839</v>
      </c>
      <c r="H24" s="4">
        <v>0.257</v>
      </c>
      <c r="I24" s="3">
        <f t="shared" si="1"/>
        <v>3.772</v>
      </c>
      <c r="J24" s="3">
        <f t="shared" si="2"/>
        <v>2.110021209</v>
      </c>
      <c r="K24" s="3">
        <f t="shared" si="3"/>
        <v>0.52681764</v>
      </c>
    </row>
    <row r="25" ht="15.75" customHeight="1">
      <c r="A25" s="2">
        <v>24.0</v>
      </c>
      <c r="B25" s="4">
        <v>7.396</v>
      </c>
      <c r="C25" s="4">
        <v>1.494</v>
      </c>
      <c r="D25" s="4">
        <v>2.133</v>
      </c>
      <c r="E25" s="4">
        <v>1.531</v>
      </c>
      <c r="F25" s="4">
        <v>0.338</v>
      </c>
      <c r="G25" s="4">
        <v>0.655</v>
      </c>
      <c r="H25" s="4">
        <v>0.259</v>
      </c>
      <c r="I25" s="3">
        <f t="shared" si="1"/>
        <v>3.627</v>
      </c>
      <c r="J25" s="3">
        <f t="shared" si="2"/>
        <v>2.039150813</v>
      </c>
      <c r="K25" s="3">
        <f t="shared" si="3"/>
        <v>0.5160305344</v>
      </c>
    </row>
    <row r="26" ht="15.75" customHeight="1">
      <c r="A26" s="2">
        <v>25.0</v>
      </c>
      <c r="B26" s="4">
        <v>7.419</v>
      </c>
      <c r="C26" s="4">
        <v>1.349</v>
      </c>
      <c r="D26" s="4">
        <v>2.313</v>
      </c>
      <c r="E26" s="4">
        <v>1.257</v>
      </c>
      <c r="F26" s="4">
        <v>0.291</v>
      </c>
      <c r="G26" s="4">
        <v>0.714</v>
      </c>
      <c r="H26" s="4">
        <v>0.339</v>
      </c>
      <c r="I26" s="3">
        <f t="shared" si="1"/>
        <v>3.662</v>
      </c>
      <c r="J26" s="3">
        <f t="shared" si="2"/>
        <v>2.025942108</v>
      </c>
      <c r="K26" s="3">
        <f t="shared" si="3"/>
        <v>0.4075630252</v>
      </c>
    </row>
    <row r="27" ht="15.75" customHeight="1">
      <c r="A27" s="2">
        <v>26.0</v>
      </c>
      <c r="B27" s="4">
        <v>5.26</v>
      </c>
      <c r="C27" s="4">
        <v>1.278</v>
      </c>
      <c r="D27" s="4">
        <v>1.866</v>
      </c>
      <c r="E27" s="4">
        <v>1.132</v>
      </c>
      <c r="F27" s="4">
        <v>0.254</v>
      </c>
      <c r="G27" s="4">
        <v>0.554</v>
      </c>
      <c r="H27" s="4">
        <v>0.205</v>
      </c>
      <c r="I27" s="3">
        <f t="shared" si="1"/>
        <v>3.144</v>
      </c>
      <c r="J27" s="3">
        <f t="shared" si="2"/>
        <v>1.67302799</v>
      </c>
      <c r="K27" s="3">
        <f t="shared" si="3"/>
        <v>0.4584837545</v>
      </c>
    </row>
    <row r="28" ht="15.75" customHeight="1">
      <c r="A28" s="2">
        <v>27.0</v>
      </c>
      <c r="B28" s="4">
        <v>6.455</v>
      </c>
      <c r="C28" s="4">
        <v>1.446</v>
      </c>
      <c r="D28" s="4">
        <v>1.889</v>
      </c>
      <c r="E28" s="4">
        <v>1.2</v>
      </c>
      <c r="F28" s="4">
        <v>0.199</v>
      </c>
      <c r="G28" s="4">
        <v>0.657</v>
      </c>
      <c r="H28" s="4">
        <v>0.233</v>
      </c>
      <c r="I28" s="3">
        <f t="shared" si="1"/>
        <v>3.335</v>
      </c>
      <c r="J28" s="3">
        <f t="shared" si="2"/>
        <v>1.935532234</v>
      </c>
      <c r="K28" s="3">
        <f t="shared" si="3"/>
        <v>0.302891933</v>
      </c>
    </row>
    <row r="29" ht="15.75" customHeight="1">
      <c r="A29" s="2">
        <v>28.0</v>
      </c>
      <c r="B29" s="4">
        <v>4.853</v>
      </c>
      <c r="C29" s="4">
        <v>1.355</v>
      </c>
      <c r="D29" s="4">
        <v>1.897</v>
      </c>
      <c r="E29" s="4">
        <v>1.09</v>
      </c>
      <c r="F29" s="4">
        <v>0.312</v>
      </c>
      <c r="G29" s="4">
        <v>0.778</v>
      </c>
      <c r="H29" s="4">
        <v>0.185</v>
      </c>
      <c r="I29" s="3">
        <f t="shared" si="1"/>
        <v>3.252</v>
      </c>
      <c r="J29" s="3">
        <f t="shared" si="2"/>
        <v>1.492312423</v>
      </c>
      <c r="K29" s="3">
        <f t="shared" si="3"/>
        <v>0.4010282776</v>
      </c>
    </row>
    <row r="30" ht="15.75" customHeight="1">
      <c r="A30" s="2">
        <v>29.0</v>
      </c>
      <c r="B30" s="4">
        <v>5.548</v>
      </c>
      <c r="C30" s="4">
        <v>1.259</v>
      </c>
      <c r="D30" s="4">
        <v>2.001</v>
      </c>
      <c r="E30" s="4">
        <v>1.096</v>
      </c>
      <c r="F30" s="4">
        <v>0.227</v>
      </c>
      <c r="G30" s="4">
        <v>0.64</v>
      </c>
      <c r="H30" s="4">
        <v>0.206</v>
      </c>
      <c r="I30" s="3">
        <f t="shared" si="1"/>
        <v>3.26</v>
      </c>
      <c r="J30" s="3">
        <f t="shared" si="2"/>
        <v>1.701840491</v>
      </c>
      <c r="K30" s="3">
        <f t="shared" si="3"/>
        <v>0.3546875</v>
      </c>
    </row>
    <row r="31" ht="15.75" customHeight="1">
      <c r="A31" s="2">
        <v>30.0</v>
      </c>
      <c r="B31" s="4">
        <v>7.259</v>
      </c>
      <c r="C31" s="4">
        <v>1.532</v>
      </c>
      <c r="D31" s="4">
        <v>2.015</v>
      </c>
      <c r="E31" s="4">
        <v>1.311</v>
      </c>
      <c r="F31" s="4">
        <v>0.305</v>
      </c>
      <c r="G31" s="4">
        <v>0.732</v>
      </c>
      <c r="H31" s="4">
        <v>0.254</v>
      </c>
      <c r="I31" s="3">
        <f t="shared" si="1"/>
        <v>3.547</v>
      </c>
      <c r="J31" s="3">
        <f t="shared" si="2"/>
        <v>2.046518184</v>
      </c>
      <c r="K31" s="3">
        <f t="shared" si="3"/>
        <v>0.4166666667</v>
      </c>
    </row>
    <row r="32" ht="15.75" customHeight="1">
      <c r="A32" s="2" t="s">
        <v>11</v>
      </c>
      <c r="B32" s="3">
        <f t="shared" ref="B32:K32" si="4">AVERAGE(B2:B31)</f>
        <v>6.891633333</v>
      </c>
      <c r="C32" s="3">
        <f t="shared" si="4"/>
        <v>1.501166667</v>
      </c>
      <c r="D32" s="3">
        <f t="shared" si="4"/>
        <v>2.0281</v>
      </c>
      <c r="E32" s="3">
        <f t="shared" si="4"/>
        <v>1.2996</v>
      </c>
      <c r="F32" s="3">
        <f t="shared" si="4"/>
        <v>0.3023</v>
      </c>
      <c r="G32" s="3">
        <f t="shared" si="4"/>
        <v>0.7276666667</v>
      </c>
      <c r="H32" s="3">
        <f t="shared" si="4"/>
        <v>0.2520666667</v>
      </c>
      <c r="I32" s="3">
        <f t="shared" si="4"/>
        <v>3.529266667</v>
      </c>
      <c r="J32" s="3">
        <f t="shared" si="4"/>
        <v>1.947312373</v>
      </c>
      <c r="K32" s="3">
        <f t="shared" si="4"/>
        <v>0.4168015475</v>
      </c>
    </row>
    <row r="33" ht="15.75" customHeight="1">
      <c r="A33" s="2" t="s">
        <v>12</v>
      </c>
      <c r="B33" s="3">
        <f t="shared" ref="B33:K33" si="5">STDEV(B2:B31)</f>
        <v>0.9724099988</v>
      </c>
      <c r="C33" s="3">
        <f t="shared" si="5"/>
        <v>0.1325779103</v>
      </c>
      <c r="D33" s="3">
        <f t="shared" si="5"/>
        <v>0.1585686733</v>
      </c>
      <c r="E33" s="3">
        <f t="shared" si="5"/>
        <v>0.1402447614</v>
      </c>
      <c r="F33" s="3">
        <f t="shared" si="5"/>
        <v>0.05352675773</v>
      </c>
      <c r="G33" s="3">
        <f t="shared" si="5"/>
        <v>0.07951722144</v>
      </c>
      <c r="H33" s="3">
        <f t="shared" si="5"/>
        <v>0.04209097973</v>
      </c>
      <c r="I33" s="3">
        <f t="shared" si="5"/>
        <v>0.2234307628</v>
      </c>
      <c r="J33" s="3">
        <f t="shared" si="5"/>
        <v>0.2019884086</v>
      </c>
      <c r="K33" s="3">
        <f t="shared" si="5"/>
        <v>0.06723837192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10.612</v>
      </c>
      <c r="C2" s="3">
        <v>1.787</v>
      </c>
      <c r="D2" s="3">
        <v>2.504</v>
      </c>
      <c r="E2" s="3">
        <v>2.491</v>
      </c>
      <c r="F2" s="3">
        <v>0.469</v>
      </c>
      <c r="G2" s="3">
        <v>1.041</v>
      </c>
      <c r="H2" s="3">
        <v>0.574</v>
      </c>
      <c r="I2" s="3">
        <f>C2+D2</f>
        <v>4.291</v>
      </c>
      <c r="J2" s="3">
        <f>B2/I2</f>
        <v>2.473083197</v>
      </c>
      <c r="K2" s="3">
        <f>F2/G2</f>
        <v>0.4505283381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36.447</v>
      </c>
      <c r="C2" s="3">
        <v>3.212</v>
      </c>
      <c r="D2" s="3">
        <v>5.313</v>
      </c>
      <c r="E2" s="3">
        <v>3.013</v>
      </c>
      <c r="F2" s="3">
        <v>0.454</v>
      </c>
      <c r="G2" s="3">
        <v>2.239</v>
      </c>
      <c r="H2" s="3">
        <v>1.204</v>
      </c>
      <c r="I2" s="3">
        <f t="shared" ref="I2:I31" si="1">C2+D2</f>
        <v>8.525</v>
      </c>
      <c r="J2" s="3">
        <f t="shared" ref="J2:J31" si="2">B2/I2</f>
        <v>4.275307918</v>
      </c>
      <c r="K2" s="3">
        <f t="shared" ref="K2:K31" si="3">F2/G2</f>
        <v>0.2027690933</v>
      </c>
    </row>
    <row r="3">
      <c r="A3" s="2">
        <v>2.0</v>
      </c>
      <c r="B3" s="3">
        <v>37.52</v>
      </c>
      <c r="C3" s="3">
        <v>3.288</v>
      </c>
      <c r="D3" s="3">
        <v>5.79</v>
      </c>
      <c r="E3" s="3">
        <v>3.442</v>
      </c>
      <c r="F3" s="3">
        <v>0.608</v>
      </c>
      <c r="G3" s="3">
        <v>2.766</v>
      </c>
      <c r="H3" s="3">
        <v>1.944</v>
      </c>
      <c r="I3" s="3">
        <f t="shared" si="1"/>
        <v>9.078</v>
      </c>
      <c r="J3" s="3">
        <f t="shared" si="2"/>
        <v>4.133068958</v>
      </c>
      <c r="K3" s="3">
        <f t="shared" si="3"/>
        <v>0.2198120029</v>
      </c>
    </row>
    <row r="4">
      <c r="A4" s="2">
        <v>3.0</v>
      </c>
      <c r="B4" s="3">
        <v>31.615</v>
      </c>
      <c r="C4" s="3">
        <v>3.595</v>
      </c>
      <c r="D4" s="3">
        <v>5.28</v>
      </c>
      <c r="E4" s="3">
        <v>3.205</v>
      </c>
      <c r="F4" s="3">
        <v>0.519</v>
      </c>
      <c r="G4" s="3">
        <v>2.008</v>
      </c>
      <c r="H4" s="3">
        <v>1.466</v>
      </c>
      <c r="I4" s="3">
        <f t="shared" si="1"/>
        <v>8.875</v>
      </c>
      <c r="J4" s="3">
        <f t="shared" si="2"/>
        <v>3.562253521</v>
      </c>
      <c r="K4" s="3">
        <f t="shared" si="3"/>
        <v>0.2584661355</v>
      </c>
    </row>
    <row r="5">
      <c r="A5" s="2">
        <v>4.0</v>
      </c>
      <c r="B5" s="3">
        <v>36.895</v>
      </c>
      <c r="C5" s="3">
        <v>3.473</v>
      </c>
      <c r="D5" s="3">
        <v>5.585</v>
      </c>
      <c r="E5" s="3">
        <v>2.939</v>
      </c>
      <c r="F5" s="3">
        <v>0.572</v>
      </c>
      <c r="G5" s="3">
        <v>2.629</v>
      </c>
      <c r="H5" s="3">
        <v>1.476</v>
      </c>
      <c r="I5" s="3">
        <f t="shared" si="1"/>
        <v>9.058</v>
      </c>
      <c r="J5" s="3">
        <f t="shared" si="2"/>
        <v>4.073194966</v>
      </c>
      <c r="K5" s="3">
        <f t="shared" si="3"/>
        <v>0.2175732218</v>
      </c>
    </row>
    <row r="6">
      <c r="A6" s="2">
        <v>5.0</v>
      </c>
      <c r="B6" s="3">
        <v>35.172</v>
      </c>
      <c r="C6" s="3">
        <v>3.144</v>
      </c>
      <c r="D6" s="3">
        <v>5.146</v>
      </c>
      <c r="E6" s="3">
        <v>2.791</v>
      </c>
      <c r="F6" s="3">
        <v>0.475</v>
      </c>
      <c r="G6" s="3">
        <v>2.309</v>
      </c>
      <c r="H6" s="3">
        <v>1.1196</v>
      </c>
      <c r="I6" s="3">
        <f t="shared" si="1"/>
        <v>8.29</v>
      </c>
      <c r="J6" s="3">
        <f t="shared" si="2"/>
        <v>4.242702051</v>
      </c>
      <c r="K6" s="3">
        <f t="shared" si="3"/>
        <v>0.2057167605</v>
      </c>
    </row>
    <row r="7">
      <c r="A7" s="2">
        <v>6.0</v>
      </c>
      <c r="B7" s="3">
        <v>40.522</v>
      </c>
      <c r="C7" s="3">
        <v>3.8</v>
      </c>
      <c r="D7" s="3">
        <v>5.698</v>
      </c>
      <c r="E7" s="3">
        <v>3.184</v>
      </c>
      <c r="F7" s="3">
        <v>0.41</v>
      </c>
      <c r="G7" s="3">
        <v>2.294</v>
      </c>
      <c r="H7" s="3">
        <v>1.81</v>
      </c>
      <c r="I7" s="3">
        <f t="shared" si="1"/>
        <v>9.498</v>
      </c>
      <c r="J7" s="3">
        <f t="shared" si="2"/>
        <v>4.266371868</v>
      </c>
      <c r="K7" s="3">
        <f t="shared" si="3"/>
        <v>0.1787271142</v>
      </c>
    </row>
    <row r="8">
      <c r="A8" s="2">
        <v>7.0</v>
      </c>
      <c r="B8" s="3">
        <v>38.223</v>
      </c>
      <c r="C8" s="3">
        <v>3.096</v>
      </c>
      <c r="D8" s="3">
        <v>5.481</v>
      </c>
      <c r="E8" s="3">
        <v>2.573</v>
      </c>
      <c r="F8" s="3">
        <v>0.478</v>
      </c>
      <c r="G8" s="3">
        <v>2.457</v>
      </c>
      <c r="H8" s="3">
        <v>1.806</v>
      </c>
      <c r="I8" s="3">
        <f t="shared" si="1"/>
        <v>8.577</v>
      </c>
      <c r="J8" s="3">
        <f t="shared" si="2"/>
        <v>4.456453305</v>
      </c>
      <c r="K8" s="3">
        <f t="shared" si="3"/>
        <v>0.1945461945</v>
      </c>
    </row>
    <row r="9">
      <c r="A9" s="2">
        <v>8.0</v>
      </c>
      <c r="B9" s="3">
        <v>39.512</v>
      </c>
      <c r="C9" s="3">
        <v>3.84</v>
      </c>
      <c r="D9" s="3">
        <v>6.68</v>
      </c>
      <c r="E9" s="3">
        <v>3.051</v>
      </c>
      <c r="F9" s="3">
        <v>0.339</v>
      </c>
      <c r="G9" s="3">
        <v>2.647</v>
      </c>
      <c r="H9" s="3">
        <v>2.138</v>
      </c>
      <c r="I9" s="3">
        <f t="shared" si="1"/>
        <v>10.52</v>
      </c>
      <c r="J9" s="3">
        <f t="shared" si="2"/>
        <v>3.755893536</v>
      </c>
      <c r="K9" s="3">
        <f t="shared" si="3"/>
        <v>0.1280695127</v>
      </c>
    </row>
    <row r="10">
      <c r="A10" s="2">
        <v>9.0</v>
      </c>
      <c r="B10" s="3">
        <v>36.215</v>
      </c>
      <c r="C10" s="3">
        <v>2.842</v>
      </c>
      <c r="D10" s="3">
        <v>4.638</v>
      </c>
      <c r="E10" s="3">
        <v>2.702</v>
      </c>
      <c r="F10" s="3">
        <v>0.471</v>
      </c>
      <c r="G10" s="3">
        <v>2.383</v>
      </c>
      <c r="H10" s="3">
        <v>1.638</v>
      </c>
      <c r="I10" s="3">
        <f t="shared" si="1"/>
        <v>7.48</v>
      </c>
      <c r="J10" s="3">
        <f t="shared" si="2"/>
        <v>4.84157754</v>
      </c>
      <c r="K10" s="3">
        <f t="shared" si="3"/>
        <v>0.197650021</v>
      </c>
    </row>
    <row r="11">
      <c r="A11" s="2">
        <v>10.0</v>
      </c>
      <c r="B11" s="4">
        <v>38.43</v>
      </c>
      <c r="C11" s="4">
        <v>3.41</v>
      </c>
      <c r="D11" s="4">
        <v>5.945</v>
      </c>
      <c r="E11" s="4">
        <v>2.962</v>
      </c>
      <c r="F11" s="4">
        <v>0.396</v>
      </c>
      <c r="G11" s="4">
        <v>2.504</v>
      </c>
      <c r="H11" s="4">
        <v>1.498</v>
      </c>
      <c r="I11" s="3">
        <f t="shared" si="1"/>
        <v>9.355</v>
      </c>
      <c r="J11" s="3">
        <f t="shared" si="2"/>
        <v>4.107963656</v>
      </c>
      <c r="K11" s="3">
        <f t="shared" si="3"/>
        <v>0.1581469649</v>
      </c>
    </row>
    <row r="12">
      <c r="A12" s="2">
        <v>11.0</v>
      </c>
      <c r="B12" s="4">
        <v>41.782</v>
      </c>
      <c r="C12" s="4">
        <v>4.169</v>
      </c>
      <c r="D12" s="4">
        <v>6.343</v>
      </c>
      <c r="E12" s="4">
        <v>3.821</v>
      </c>
      <c r="F12" s="4">
        <v>0.445</v>
      </c>
      <c r="G12" s="4">
        <v>2.78</v>
      </c>
      <c r="H12" s="4">
        <v>2.442</v>
      </c>
      <c r="I12" s="3">
        <f t="shared" si="1"/>
        <v>10.512</v>
      </c>
      <c r="J12" s="3">
        <f t="shared" si="2"/>
        <v>3.974695586</v>
      </c>
      <c r="K12" s="3">
        <f t="shared" si="3"/>
        <v>0.1600719424</v>
      </c>
    </row>
    <row r="13">
      <c r="A13" s="2">
        <v>12.0</v>
      </c>
      <c r="B13" s="4">
        <v>40.471</v>
      </c>
      <c r="C13" s="4">
        <v>3.537</v>
      </c>
      <c r="D13" s="4">
        <v>5.825</v>
      </c>
      <c r="E13" s="4">
        <v>3.349</v>
      </c>
      <c r="F13" s="4">
        <v>0.423</v>
      </c>
      <c r="G13" s="4">
        <v>2.981</v>
      </c>
      <c r="H13" s="4">
        <v>1.853</v>
      </c>
      <c r="I13" s="3">
        <f t="shared" si="1"/>
        <v>9.362</v>
      </c>
      <c r="J13" s="3">
        <f t="shared" si="2"/>
        <v>4.32290109</v>
      </c>
      <c r="K13" s="3">
        <f t="shared" si="3"/>
        <v>0.1418986917</v>
      </c>
    </row>
    <row r="14">
      <c r="A14" s="2">
        <v>13.0</v>
      </c>
      <c r="B14" s="4">
        <v>41.201</v>
      </c>
      <c r="C14" s="4">
        <v>3.057</v>
      </c>
      <c r="D14" s="4">
        <v>5.701</v>
      </c>
      <c r="E14" s="4">
        <v>3.527</v>
      </c>
      <c r="F14" s="4">
        <v>0.555</v>
      </c>
      <c r="G14" s="4">
        <v>3.092</v>
      </c>
      <c r="H14" s="4">
        <v>1.764</v>
      </c>
      <c r="I14" s="3">
        <f t="shared" si="1"/>
        <v>8.758</v>
      </c>
      <c r="J14" s="3">
        <f t="shared" si="2"/>
        <v>4.704384563</v>
      </c>
      <c r="K14" s="3">
        <f t="shared" si="3"/>
        <v>0.1794954722</v>
      </c>
    </row>
    <row r="15">
      <c r="A15" s="2">
        <v>14.0</v>
      </c>
      <c r="B15" s="4">
        <v>40.286</v>
      </c>
      <c r="C15" s="4">
        <v>3.514</v>
      </c>
      <c r="D15" s="4">
        <v>5.605</v>
      </c>
      <c r="E15" s="4">
        <v>3.296</v>
      </c>
      <c r="F15" s="4">
        <v>0.507</v>
      </c>
      <c r="G15" s="4">
        <v>3.079</v>
      </c>
      <c r="H15" s="4">
        <v>2.068</v>
      </c>
      <c r="I15" s="3">
        <f t="shared" si="1"/>
        <v>9.119</v>
      </c>
      <c r="J15" s="3">
        <f t="shared" si="2"/>
        <v>4.41780897</v>
      </c>
      <c r="K15" s="3">
        <f t="shared" si="3"/>
        <v>0.1646638519</v>
      </c>
    </row>
    <row r="16">
      <c r="A16" s="2">
        <v>15.0</v>
      </c>
      <c r="B16" s="4">
        <v>36.017</v>
      </c>
      <c r="C16" s="4">
        <v>3.243</v>
      </c>
      <c r="D16" s="4">
        <v>5.501</v>
      </c>
      <c r="E16" s="4">
        <v>3.508</v>
      </c>
      <c r="F16" s="4">
        <v>0.556</v>
      </c>
      <c r="G16" s="4">
        <v>2.667</v>
      </c>
      <c r="H16" s="4">
        <v>1.967</v>
      </c>
      <c r="I16" s="3">
        <f t="shared" si="1"/>
        <v>8.744</v>
      </c>
      <c r="J16" s="3">
        <f t="shared" si="2"/>
        <v>4.119053065</v>
      </c>
      <c r="K16" s="3">
        <f t="shared" si="3"/>
        <v>0.2084739408</v>
      </c>
    </row>
    <row r="17">
      <c r="A17" s="2">
        <v>16.0</v>
      </c>
      <c r="B17" s="4">
        <v>39.265</v>
      </c>
      <c r="C17" s="4">
        <v>3.356</v>
      </c>
      <c r="D17" s="4">
        <v>5.095</v>
      </c>
      <c r="E17" s="4">
        <v>3.273</v>
      </c>
      <c r="F17" s="4">
        <v>0.65</v>
      </c>
      <c r="G17" s="4">
        <v>2.739</v>
      </c>
      <c r="H17" s="4">
        <v>1.915</v>
      </c>
      <c r="I17" s="3">
        <f t="shared" si="1"/>
        <v>8.451</v>
      </c>
      <c r="J17" s="3">
        <f t="shared" si="2"/>
        <v>4.646195716</v>
      </c>
      <c r="K17" s="3">
        <f t="shared" si="3"/>
        <v>0.2373128879</v>
      </c>
    </row>
    <row r="18">
      <c r="A18" s="2">
        <v>17.0</v>
      </c>
      <c r="B18" s="4">
        <v>33.157</v>
      </c>
      <c r="C18" s="4">
        <v>2.884</v>
      </c>
      <c r="D18" s="4">
        <v>5.4</v>
      </c>
      <c r="E18" s="4">
        <v>2.944</v>
      </c>
      <c r="F18" s="4">
        <v>0.378</v>
      </c>
      <c r="G18" s="4">
        <v>2.593</v>
      </c>
      <c r="H18" s="4">
        <v>1.399</v>
      </c>
      <c r="I18" s="3">
        <f t="shared" si="1"/>
        <v>8.284</v>
      </c>
      <c r="J18" s="3">
        <f t="shared" si="2"/>
        <v>4.002535007</v>
      </c>
      <c r="K18" s="3">
        <f t="shared" si="3"/>
        <v>0.1457770922</v>
      </c>
    </row>
    <row r="19">
      <c r="A19" s="2">
        <v>18.0</v>
      </c>
      <c r="B19" s="4">
        <v>21.545</v>
      </c>
      <c r="C19" s="4">
        <v>2.376</v>
      </c>
      <c r="D19" s="4">
        <v>4.118</v>
      </c>
      <c r="E19" s="4">
        <v>2.851</v>
      </c>
      <c r="F19" s="4">
        <v>0.488</v>
      </c>
      <c r="G19" s="4">
        <v>2.098</v>
      </c>
      <c r="H19" s="4">
        <v>0.833</v>
      </c>
      <c r="I19" s="3">
        <f t="shared" si="1"/>
        <v>6.494</v>
      </c>
      <c r="J19" s="3">
        <f t="shared" si="2"/>
        <v>3.317677856</v>
      </c>
      <c r="K19" s="3">
        <f t="shared" si="3"/>
        <v>0.2326024786</v>
      </c>
    </row>
    <row r="20">
      <c r="A20" s="2">
        <v>19.0</v>
      </c>
      <c r="B20" s="4">
        <v>26.644</v>
      </c>
      <c r="C20" s="4">
        <v>3.249</v>
      </c>
      <c r="D20" s="4">
        <v>4.4</v>
      </c>
      <c r="E20" s="4">
        <v>3.162</v>
      </c>
      <c r="F20" s="4">
        <v>0.578</v>
      </c>
      <c r="G20" s="4">
        <v>2.807</v>
      </c>
      <c r="H20" s="4">
        <v>1.65</v>
      </c>
      <c r="I20" s="3">
        <f t="shared" si="1"/>
        <v>7.649</v>
      </c>
      <c r="J20" s="3">
        <f t="shared" si="2"/>
        <v>3.483331154</v>
      </c>
      <c r="K20" s="3">
        <f t="shared" si="3"/>
        <v>0.205913787</v>
      </c>
    </row>
    <row r="21" ht="15.75" customHeight="1">
      <c r="A21" s="2">
        <v>20.0</v>
      </c>
      <c r="B21" s="4">
        <v>39.727</v>
      </c>
      <c r="C21" s="4">
        <v>2.83</v>
      </c>
      <c r="D21" s="4">
        <v>4.998</v>
      </c>
      <c r="E21" s="4">
        <v>3.176</v>
      </c>
      <c r="F21" s="4">
        <v>0.516</v>
      </c>
      <c r="G21" s="4">
        <v>2.643</v>
      </c>
      <c r="H21" s="4">
        <v>2.02</v>
      </c>
      <c r="I21" s="3">
        <f t="shared" si="1"/>
        <v>7.828</v>
      </c>
      <c r="J21" s="3">
        <f t="shared" si="2"/>
        <v>5.074987225</v>
      </c>
      <c r="K21" s="3">
        <f t="shared" si="3"/>
        <v>0.1952326901</v>
      </c>
    </row>
    <row r="22" ht="15.75" customHeight="1">
      <c r="A22" s="2">
        <v>21.0</v>
      </c>
      <c r="B22" s="4">
        <v>32.668</v>
      </c>
      <c r="C22" s="4">
        <v>2.793</v>
      </c>
      <c r="D22" s="4">
        <v>4.857</v>
      </c>
      <c r="E22" s="4">
        <v>3.092</v>
      </c>
      <c r="F22" s="4">
        <v>0.291</v>
      </c>
      <c r="G22" s="4">
        <v>2.433</v>
      </c>
      <c r="H22" s="4">
        <v>1.395</v>
      </c>
      <c r="I22" s="3">
        <f t="shared" si="1"/>
        <v>7.65</v>
      </c>
      <c r="J22" s="3">
        <f t="shared" si="2"/>
        <v>4.270326797</v>
      </c>
      <c r="K22" s="3">
        <f t="shared" si="3"/>
        <v>0.1196054254</v>
      </c>
    </row>
    <row r="23" ht="15.75" customHeight="1">
      <c r="A23" s="2">
        <v>22.0</v>
      </c>
      <c r="B23" s="4">
        <v>34.916</v>
      </c>
      <c r="C23" s="4">
        <v>3.355</v>
      </c>
      <c r="D23" s="4">
        <v>4.609</v>
      </c>
      <c r="E23" s="4">
        <v>2.805</v>
      </c>
      <c r="F23" s="4">
        <v>0.367</v>
      </c>
      <c r="G23" s="4">
        <v>2.512</v>
      </c>
      <c r="H23" s="4">
        <v>1.557</v>
      </c>
      <c r="I23" s="3">
        <f t="shared" si="1"/>
        <v>7.964</v>
      </c>
      <c r="J23" s="3">
        <f t="shared" si="2"/>
        <v>4.384229031</v>
      </c>
      <c r="K23" s="3">
        <f t="shared" si="3"/>
        <v>0.1460987261</v>
      </c>
    </row>
    <row r="24" ht="15.75" customHeight="1">
      <c r="A24" s="2">
        <v>23.0</v>
      </c>
      <c r="B24" s="4">
        <v>28.238</v>
      </c>
      <c r="C24" s="4">
        <v>2.902</v>
      </c>
      <c r="D24" s="4">
        <v>4.682</v>
      </c>
      <c r="E24" s="4">
        <v>2.9</v>
      </c>
      <c r="F24" s="4">
        <v>0.488</v>
      </c>
      <c r="G24" s="4">
        <v>2.307</v>
      </c>
      <c r="H24" s="4">
        <v>1.546</v>
      </c>
      <c r="I24" s="3">
        <f t="shared" si="1"/>
        <v>7.584</v>
      </c>
      <c r="J24" s="3">
        <f t="shared" si="2"/>
        <v>3.723364979</v>
      </c>
      <c r="K24" s="3">
        <f t="shared" si="3"/>
        <v>0.2115301257</v>
      </c>
    </row>
    <row r="25" ht="15.75" customHeight="1">
      <c r="A25" s="2">
        <v>24.0</v>
      </c>
      <c r="B25" s="4">
        <v>33.302</v>
      </c>
      <c r="C25" s="4">
        <v>3.176</v>
      </c>
      <c r="D25" s="4">
        <v>5.125</v>
      </c>
      <c r="E25" s="4">
        <v>3.231</v>
      </c>
      <c r="F25" s="4">
        <v>0.337</v>
      </c>
      <c r="G25" s="4">
        <v>2.623</v>
      </c>
      <c r="H25" s="4">
        <v>1.495</v>
      </c>
      <c r="I25" s="3">
        <f t="shared" si="1"/>
        <v>8.301</v>
      </c>
      <c r="J25" s="3">
        <f t="shared" si="2"/>
        <v>4.011805807</v>
      </c>
      <c r="K25" s="3">
        <f t="shared" si="3"/>
        <v>0.128478841</v>
      </c>
    </row>
    <row r="26" ht="15.75" customHeight="1">
      <c r="A26" s="2">
        <v>25.0</v>
      </c>
      <c r="B26" s="4">
        <v>32.262</v>
      </c>
      <c r="C26" s="4">
        <v>2.923</v>
      </c>
      <c r="D26" s="4">
        <v>4.773</v>
      </c>
      <c r="E26" s="4">
        <v>2.487</v>
      </c>
      <c r="F26" s="4">
        <v>0.435</v>
      </c>
      <c r="G26" s="4">
        <v>2.538</v>
      </c>
      <c r="H26" s="4">
        <v>1.246</v>
      </c>
      <c r="I26" s="3">
        <f t="shared" si="1"/>
        <v>7.696</v>
      </c>
      <c r="J26" s="3">
        <f t="shared" si="2"/>
        <v>4.192047817</v>
      </c>
      <c r="K26" s="3">
        <f t="shared" si="3"/>
        <v>0.1713947991</v>
      </c>
    </row>
    <row r="27" ht="15.75" customHeight="1">
      <c r="A27" s="2">
        <v>26.0</v>
      </c>
      <c r="B27" s="4">
        <v>29.602</v>
      </c>
      <c r="C27" s="4">
        <v>2.577</v>
      </c>
      <c r="D27" s="4">
        <v>4.777</v>
      </c>
      <c r="E27" s="4">
        <v>2.606</v>
      </c>
      <c r="F27" s="4">
        <v>0.405</v>
      </c>
      <c r="G27" s="4">
        <v>2.441</v>
      </c>
      <c r="H27" s="4">
        <v>1.334</v>
      </c>
      <c r="I27" s="3">
        <f t="shared" si="1"/>
        <v>7.354</v>
      </c>
      <c r="J27" s="3">
        <f t="shared" si="2"/>
        <v>4.025292358</v>
      </c>
      <c r="K27" s="3">
        <f t="shared" si="3"/>
        <v>0.1659156084</v>
      </c>
    </row>
    <row r="28" ht="15.75" customHeight="1">
      <c r="A28" s="2">
        <v>27.0</v>
      </c>
      <c r="B28" s="4">
        <v>26.622</v>
      </c>
      <c r="C28" s="4">
        <v>2.93</v>
      </c>
      <c r="D28" s="4">
        <v>4.177</v>
      </c>
      <c r="E28" s="4">
        <v>2.881</v>
      </c>
      <c r="F28" s="4">
        <v>0.359</v>
      </c>
      <c r="G28" s="4">
        <v>2.199</v>
      </c>
      <c r="H28" s="4">
        <v>1.597</v>
      </c>
      <c r="I28" s="3">
        <f t="shared" si="1"/>
        <v>7.107</v>
      </c>
      <c r="J28" s="3">
        <f t="shared" si="2"/>
        <v>3.745884339</v>
      </c>
      <c r="K28" s="3">
        <f t="shared" si="3"/>
        <v>0.1632560255</v>
      </c>
    </row>
    <row r="29" ht="15.75" customHeight="1">
      <c r="A29" s="2">
        <v>28.0</v>
      </c>
      <c r="B29" s="4">
        <v>32.073</v>
      </c>
      <c r="C29" s="4">
        <v>3.03</v>
      </c>
      <c r="D29" s="4">
        <v>4.907</v>
      </c>
      <c r="E29" s="4">
        <v>2.791</v>
      </c>
      <c r="F29" s="4">
        <v>0.442</v>
      </c>
      <c r="G29" s="4">
        <v>2.729</v>
      </c>
      <c r="H29" s="4">
        <v>1.422</v>
      </c>
      <c r="I29" s="3">
        <f t="shared" si="1"/>
        <v>7.937</v>
      </c>
      <c r="J29" s="3">
        <f t="shared" si="2"/>
        <v>4.040947461</v>
      </c>
      <c r="K29" s="3">
        <f t="shared" si="3"/>
        <v>0.1619640894</v>
      </c>
    </row>
    <row r="30" ht="15.75" customHeight="1">
      <c r="A30" s="2">
        <v>29.0</v>
      </c>
      <c r="B30" s="4">
        <v>34.289</v>
      </c>
      <c r="C30" s="4">
        <v>3.099</v>
      </c>
      <c r="D30" s="4">
        <v>4.814</v>
      </c>
      <c r="E30" s="4">
        <v>2.908</v>
      </c>
      <c r="F30" s="4">
        <v>0.413</v>
      </c>
      <c r="G30" s="4">
        <v>2.509</v>
      </c>
      <c r="H30" s="4">
        <v>1.45</v>
      </c>
      <c r="I30" s="3">
        <f t="shared" si="1"/>
        <v>7.913</v>
      </c>
      <c r="J30" s="3">
        <f t="shared" si="2"/>
        <v>4.333249084</v>
      </c>
      <c r="K30" s="3">
        <f t="shared" si="3"/>
        <v>0.1646074133</v>
      </c>
    </row>
    <row r="31" ht="15.75" customHeight="1">
      <c r="A31" s="2">
        <v>30.0</v>
      </c>
      <c r="B31" s="4">
        <v>40.98</v>
      </c>
      <c r="C31" s="4">
        <v>3.05</v>
      </c>
      <c r="D31" s="4">
        <v>5.353</v>
      </c>
      <c r="E31" s="4">
        <v>3.224</v>
      </c>
      <c r="F31" s="4">
        <v>0.254</v>
      </c>
      <c r="G31" s="4">
        <v>2.619</v>
      </c>
      <c r="H31" s="4">
        <v>1.734</v>
      </c>
      <c r="I31" s="3">
        <f t="shared" si="1"/>
        <v>8.403</v>
      </c>
      <c r="J31" s="3">
        <f t="shared" si="2"/>
        <v>4.876829704</v>
      </c>
      <c r="K31" s="3">
        <f t="shared" si="3"/>
        <v>0.09698358152</v>
      </c>
    </row>
    <row r="32" ht="15.75" customHeight="1">
      <c r="A32" s="2" t="s">
        <v>11</v>
      </c>
      <c r="B32" s="3">
        <f t="shared" ref="B32:K32" si="4">AVERAGE(B2:B31)</f>
        <v>35.1866</v>
      </c>
      <c r="C32" s="3">
        <f t="shared" si="4"/>
        <v>3.191666667</v>
      </c>
      <c r="D32" s="3">
        <f t="shared" si="4"/>
        <v>5.220533333</v>
      </c>
      <c r="E32" s="3">
        <f t="shared" si="4"/>
        <v>3.056466667</v>
      </c>
      <c r="F32" s="3">
        <f t="shared" si="4"/>
        <v>0.4536333333</v>
      </c>
      <c r="G32" s="3">
        <f t="shared" si="4"/>
        <v>2.554166667</v>
      </c>
      <c r="H32" s="3">
        <f t="shared" si="4"/>
        <v>1.62622</v>
      </c>
      <c r="I32" s="3">
        <f t="shared" si="4"/>
        <v>8.4122</v>
      </c>
      <c r="J32" s="3">
        <f t="shared" si="4"/>
        <v>4.179411164</v>
      </c>
      <c r="K32" s="3">
        <f t="shared" si="4"/>
        <v>0.178758483</v>
      </c>
    </row>
    <row r="33" ht="15.75" customHeight="1">
      <c r="A33" s="2" t="s">
        <v>12</v>
      </c>
      <c r="B33" s="3">
        <f t="shared" ref="B33:K33" si="5">STDEV(B2:B31)</f>
        <v>5.054248002</v>
      </c>
      <c r="C33" s="3">
        <f t="shared" si="5"/>
        <v>0.3799492102</v>
      </c>
      <c r="D33" s="3">
        <f t="shared" si="5"/>
        <v>0.5990270694</v>
      </c>
      <c r="E33" s="3">
        <f t="shared" si="5"/>
        <v>0.3062235754</v>
      </c>
      <c r="F33" s="3">
        <f t="shared" si="5"/>
        <v>0.09346047785</v>
      </c>
      <c r="G33" s="3">
        <f t="shared" si="5"/>
        <v>0.2632874505</v>
      </c>
      <c r="H33" s="3">
        <f t="shared" si="5"/>
        <v>0.3369694813</v>
      </c>
      <c r="I33" s="3">
        <f t="shared" si="5"/>
        <v>0.918435679</v>
      </c>
      <c r="J33" s="3">
        <f t="shared" si="5"/>
        <v>0.4076447396</v>
      </c>
      <c r="K33" s="3">
        <f t="shared" si="5"/>
        <v>0.03781078379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8.242</v>
      </c>
      <c r="C2" s="3">
        <v>2.17</v>
      </c>
      <c r="D2" s="3">
        <v>2.544</v>
      </c>
      <c r="E2" s="3">
        <v>1.8</v>
      </c>
      <c r="F2" s="3">
        <v>0.18</v>
      </c>
      <c r="G2" s="3">
        <v>1.551</v>
      </c>
      <c r="H2" s="3">
        <v>0.604</v>
      </c>
      <c r="I2" s="3">
        <f t="shared" ref="I2:I31" si="1">C2+D2</f>
        <v>4.714</v>
      </c>
      <c r="J2" s="3">
        <f t="shared" ref="J2:J31" si="2">B2/I2</f>
        <v>1.748408994</v>
      </c>
      <c r="K2" s="3">
        <f t="shared" ref="K2:K31" si="3">F2/G2</f>
        <v>0.1160541586</v>
      </c>
    </row>
    <row r="3">
      <c r="A3" s="2">
        <v>2.0</v>
      </c>
      <c r="B3" s="3">
        <v>9.153</v>
      </c>
      <c r="C3" s="3">
        <v>2.068</v>
      </c>
      <c r="D3" s="3">
        <v>2.743</v>
      </c>
      <c r="E3" s="3">
        <v>1.731</v>
      </c>
      <c r="F3" s="3">
        <v>0.212</v>
      </c>
      <c r="G3" s="3">
        <v>1.487</v>
      </c>
      <c r="H3" s="3">
        <v>0.563</v>
      </c>
      <c r="I3" s="3">
        <f t="shared" si="1"/>
        <v>4.811</v>
      </c>
      <c r="J3" s="3">
        <f t="shared" si="2"/>
        <v>1.90251507</v>
      </c>
      <c r="K3" s="3">
        <f t="shared" si="3"/>
        <v>0.1425689307</v>
      </c>
    </row>
    <row r="4">
      <c r="A4" s="2">
        <v>3.0</v>
      </c>
      <c r="B4" s="3">
        <v>9.966</v>
      </c>
      <c r="C4" s="3">
        <v>2.117</v>
      </c>
      <c r="D4" s="3">
        <v>2.617</v>
      </c>
      <c r="E4" s="3">
        <v>1.688</v>
      </c>
      <c r="F4" s="3">
        <v>0.302</v>
      </c>
      <c r="G4" s="3">
        <v>1.563</v>
      </c>
      <c r="H4" s="3">
        <v>0.431</v>
      </c>
      <c r="I4" s="3">
        <f t="shared" si="1"/>
        <v>4.734</v>
      </c>
      <c r="J4" s="3">
        <f t="shared" si="2"/>
        <v>2.105196451</v>
      </c>
      <c r="K4" s="3">
        <f t="shared" si="3"/>
        <v>0.1932181702</v>
      </c>
    </row>
    <row r="5">
      <c r="A5" s="2">
        <v>4.0</v>
      </c>
      <c r="B5" s="3">
        <v>10.136</v>
      </c>
      <c r="C5" s="3">
        <v>2.399</v>
      </c>
      <c r="D5" s="3">
        <v>2.717</v>
      </c>
      <c r="E5" s="3">
        <v>1.407</v>
      </c>
      <c r="F5" s="3">
        <v>0.172</v>
      </c>
      <c r="G5" s="3">
        <v>1.533</v>
      </c>
      <c r="H5" s="3">
        <v>0.54</v>
      </c>
      <c r="I5" s="3">
        <f t="shared" si="1"/>
        <v>5.116</v>
      </c>
      <c r="J5" s="3">
        <f t="shared" si="2"/>
        <v>1.98123534</v>
      </c>
      <c r="K5" s="3">
        <f t="shared" si="3"/>
        <v>0.112198304</v>
      </c>
    </row>
    <row r="6">
      <c r="A6" s="2">
        <v>5.0</v>
      </c>
      <c r="B6" s="3">
        <v>7.689</v>
      </c>
      <c r="C6" s="3">
        <v>2.001</v>
      </c>
      <c r="D6" s="3">
        <v>2.182</v>
      </c>
      <c r="E6" s="3">
        <v>1.773</v>
      </c>
      <c r="F6" s="3">
        <v>0.174</v>
      </c>
      <c r="G6" s="3">
        <v>1.35</v>
      </c>
      <c r="H6" s="3">
        <v>0.428</v>
      </c>
      <c r="I6" s="3">
        <f t="shared" si="1"/>
        <v>4.183</v>
      </c>
      <c r="J6" s="3">
        <f t="shared" si="2"/>
        <v>1.838154435</v>
      </c>
      <c r="K6" s="3">
        <f t="shared" si="3"/>
        <v>0.1288888889</v>
      </c>
    </row>
    <row r="7">
      <c r="A7" s="2">
        <v>6.0</v>
      </c>
      <c r="B7" s="3">
        <v>8.905</v>
      </c>
      <c r="C7" s="3">
        <v>1.985</v>
      </c>
      <c r="D7" s="3">
        <v>2.608</v>
      </c>
      <c r="E7" s="3">
        <v>1.5</v>
      </c>
      <c r="F7" s="3">
        <v>0.196</v>
      </c>
      <c r="G7" s="3">
        <v>1.341</v>
      </c>
      <c r="H7" s="3">
        <v>0.457</v>
      </c>
      <c r="I7" s="3">
        <f t="shared" si="1"/>
        <v>4.593</v>
      </c>
      <c r="J7" s="3">
        <f t="shared" si="2"/>
        <v>1.938819943</v>
      </c>
      <c r="K7" s="3">
        <f t="shared" si="3"/>
        <v>0.1461595824</v>
      </c>
    </row>
    <row r="8">
      <c r="A8" s="2">
        <v>7.0</v>
      </c>
      <c r="B8" s="3">
        <v>7.388</v>
      </c>
      <c r="C8" s="3">
        <v>2.336</v>
      </c>
      <c r="D8" s="3">
        <v>2.332</v>
      </c>
      <c r="E8" s="3">
        <v>2.062</v>
      </c>
      <c r="F8" s="3">
        <v>0.239</v>
      </c>
      <c r="G8" s="3">
        <v>1.492</v>
      </c>
      <c r="H8" s="3">
        <v>0.576</v>
      </c>
      <c r="I8" s="3">
        <f t="shared" si="1"/>
        <v>4.668</v>
      </c>
      <c r="J8" s="3">
        <f t="shared" si="2"/>
        <v>1.58269066</v>
      </c>
      <c r="K8" s="3">
        <f t="shared" si="3"/>
        <v>0.1601876676</v>
      </c>
    </row>
    <row r="9">
      <c r="A9" s="2">
        <v>8.0</v>
      </c>
      <c r="B9" s="3">
        <v>7.667</v>
      </c>
      <c r="C9" s="3">
        <v>2.242</v>
      </c>
      <c r="D9" s="3">
        <v>2.426</v>
      </c>
      <c r="E9" s="3">
        <v>1.76</v>
      </c>
      <c r="F9" s="3">
        <v>0.159</v>
      </c>
      <c r="G9" s="3">
        <v>1.321</v>
      </c>
      <c r="H9" s="3">
        <v>0.578</v>
      </c>
      <c r="I9" s="3">
        <f t="shared" si="1"/>
        <v>4.668</v>
      </c>
      <c r="J9" s="3">
        <f t="shared" si="2"/>
        <v>1.642459297</v>
      </c>
      <c r="K9" s="3">
        <f t="shared" si="3"/>
        <v>0.1203633611</v>
      </c>
    </row>
    <row r="10">
      <c r="A10" s="2">
        <v>9.0</v>
      </c>
      <c r="B10" s="3">
        <v>7.465</v>
      </c>
      <c r="C10" s="3">
        <v>2.103</v>
      </c>
      <c r="D10" s="3">
        <v>2.433</v>
      </c>
      <c r="E10" s="3">
        <v>1.378</v>
      </c>
      <c r="F10" s="3">
        <v>0.187</v>
      </c>
      <c r="G10" s="3">
        <v>1.372</v>
      </c>
      <c r="H10" s="3">
        <v>0.395</v>
      </c>
      <c r="I10" s="3">
        <f t="shared" si="1"/>
        <v>4.536</v>
      </c>
      <c r="J10" s="3">
        <f t="shared" si="2"/>
        <v>1.645723104</v>
      </c>
      <c r="K10" s="3">
        <f t="shared" si="3"/>
        <v>0.1362973761</v>
      </c>
    </row>
    <row r="11">
      <c r="A11" s="2">
        <v>10.0</v>
      </c>
      <c r="B11" s="4">
        <v>7.817</v>
      </c>
      <c r="C11" s="4">
        <v>1.948</v>
      </c>
      <c r="D11" s="4">
        <v>2.558</v>
      </c>
      <c r="E11" s="4">
        <v>1.594</v>
      </c>
      <c r="F11" s="4">
        <v>0.268</v>
      </c>
      <c r="G11" s="4">
        <v>1.351</v>
      </c>
      <c r="H11" s="4">
        <v>0.532</v>
      </c>
      <c r="I11" s="3">
        <f t="shared" si="1"/>
        <v>4.506</v>
      </c>
      <c r="J11" s="3">
        <f t="shared" si="2"/>
        <v>1.734798047</v>
      </c>
      <c r="K11" s="3">
        <f t="shared" si="3"/>
        <v>0.1983715766</v>
      </c>
    </row>
    <row r="12">
      <c r="A12" s="2">
        <v>11.0</v>
      </c>
      <c r="B12" s="4">
        <v>7.254</v>
      </c>
      <c r="C12" s="4">
        <v>2.244</v>
      </c>
      <c r="D12" s="4">
        <v>2.546</v>
      </c>
      <c r="E12" s="4">
        <v>2.001</v>
      </c>
      <c r="F12" s="4">
        <v>0.165</v>
      </c>
      <c r="G12" s="4">
        <v>1.279</v>
      </c>
      <c r="H12" s="4">
        <v>0.592</v>
      </c>
      <c r="I12" s="3">
        <f t="shared" si="1"/>
        <v>4.79</v>
      </c>
      <c r="J12" s="3">
        <f t="shared" si="2"/>
        <v>1.51440501</v>
      </c>
      <c r="K12" s="3">
        <f t="shared" si="3"/>
        <v>0.1290070367</v>
      </c>
    </row>
    <row r="13">
      <c r="A13" s="2">
        <v>12.0</v>
      </c>
      <c r="B13" s="4">
        <v>7.277</v>
      </c>
      <c r="C13" s="4">
        <v>1.989</v>
      </c>
      <c r="D13" s="4">
        <v>2.386</v>
      </c>
      <c r="E13" s="4">
        <v>1.431</v>
      </c>
      <c r="F13" s="4">
        <v>0.138</v>
      </c>
      <c r="G13" s="4">
        <v>1.411</v>
      </c>
      <c r="H13" s="4">
        <v>0.299</v>
      </c>
      <c r="I13" s="3">
        <f t="shared" si="1"/>
        <v>4.375</v>
      </c>
      <c r="J13" s="3">
        <f t="shared" si="2"/>
        <v>1.663314286</v>
      </c>
      <c r="K13" s="3">
        <f t="shared" si="3"/>
        <v>0.09780297661</v>
      </c>
    </row>
    <row r="14">
      <c r="A14" s="2">
        <v>13.0</v>
      </c>
      <c r="B14" s="4">
        <v>8.76</v>
      </c>
      <c r="C14" s="4">
        <v>1.963</v>
      </c>
      <c r="D14" s="4">
        <v>2.557</v>
      </c>
      <c r="E14" s="4">
        <v>1.358</v>
      </c>
      <c r="F14" s="4">
        <v>0.2</v>
      </c>
      <c r="G14" s="4">
        <v>1.539</v>
      </c>
      <c r="H14" s="4">
        <v>0.575</v>
      </c>
      <c r="I14" s="3">
        <f t="shared" si="1"/>
        <v>4.52</v>
      </c>
      <c r="J14" s="3">
        <f t="shared" si="2"/>
        <v>1.938053097</v>
      </c>
      <c r="K14" s="3">
        <f t="shared" si="3"/>
        <v>0.1299545159</v>
      </c>
    </row>
    <row r="15">
      <c r="A15" s="2">
        <v>14.0</v>
      </c>
      <c r="B15" s="4">
        <v>7.873</v>
      </c>
      <c r="C15" s="4">
        <v>1.793</v>
      </c>
      <c r="D15" s="4">
        <v>2.552</v>
      </c>
      <c r="E15" s="4">
        <v>2.04</v>
      </c>
      <c r="F15" s="4">
        <v>0.205</v>
      </c>
      <c r="G15" s="4">
        <v>1.514</v>
      </c>
      <c r="H15" s="4">
        <v>0.429</v>
      </c>
      <c r="I15" s="3">
        <f t="shared" si="1"/>
        <v>4.345</v>
      </c>
      <c r="J15" s="3">
        <f t="shared" si="2"/>
        <v>1.811967779</v>
      </c>
      <c r="K15" s="3">
        <f t="shared" si="3"/>
        <v>0.1354029062</v>
      </c>
    </row>
    <row r="16">
      <c r="A16" s="2">
        <v>15.0</v>
      </c>
      <c r="B16" s="4">
        <v>10.132</v>
      </c>
      <c r="C16" s="4">
        <v>2.347</v>
      </c>
      <c r="D16" s="4">
        <v>2.771</v>
      </c>
      <c r="E16" s="4">
        <v>1.811</v>
      </c>
      <c r="F16" s="4">
        <v>0.213</v>
      </c>
      <c r="G16" s="4">
        <v>1.585</v>
      </c>
      <c r="H16" s="4">
        <v>0.664</v>
      </c>
      <c r="I16" s="3">
        <f t="shared" si="1"/>
        <v>5.118</v>
      </c>
      <c r="J16" s="3">
        <f t="shared" si="2"/>
        <v>1.979679562</v>
      </c>
      <c r="K16" s="3">
        <f t="shared" si="3"/>
        <v>0.134384858</v>
      </c>
    </row>
    <row r="17">
      <c r="A17" s="2">
        <v>16.0</v>
      </c>
      <c r="B17" s="4">
        <v>9.3</v>
      </c>
      <c r="C17" s="4">
        <v>2.416</v>
      </c>
      <c r="D17" s="4">
        <v>2.786</v>
      </c>
      <c r="E17" s="4">
        <v>2.042</v>
      </c>
      <c r="F17" s="4">
        <v>0.325</v>
      </c>
      <c r="G17" s="4">
        <v>1.593</v>
      </c>
      <c r="H17" s="4">
        <v>0.59</v>
      </c>
      <c r="I17" s="3">
        <f t="shared" si="1"/>
        <v>5.202</v>
      </c>
      <c r="J17" s="3">
        <f t="shared" si="2"/>
        <v>1.787773933</v>
      </c>
      <c r="K17" s="3">
        <f t="shared" si="3"/>
        <v>0.2040175769</v>
      </c>
    </row>
    <row r="18">
      <c r="A18" s="2">
        <v>17.0</v>
      </c>
      <c r="B18" s="4">
        <v>9.223</v>
      </c>
      <c r="C18" s="4">
        <v>2.186</v>
      </c>
      <c r="D18" s="4">
        <v>2.869</v>
      </c>
      <c r="E18" s="4">
        <v>2.04</v>
      </c>
      <c r="F18" s="4">
        <v>0.201</v>
      </c>
      <c r="G18" s="4">
        <v>1.596</v>
      </c>
      <c r="H18" s="4">
        <v>0.751</v>
      </c>
      <c r="I18" s="3">
        <f t="shared" si="1"/>
        <v>5.055</v>
      </c>
      <c r="J18" s="3">
        <f t="shared" si="2"/>
        <v>1.824530168</v>
      </c>
      <c r="K18" s="3">
        <f t="shared" si="3"/>
        <v>0.1259398496</v>
      </c>
    </row>
    <row r="19">
      <c r="A19" s="2">
        <v>18.0</v>
      </c>
      <c r="B19" s="4">
        <v>7.439</v>
      </c>
      <c r="C19" s="4">
        <v>2.297</v>
      </c>
      <c r="D19" s="4">
        <v>2.586</v>
      </c>
      <c r="E19" s="4">
        <v>1.787</v>
      </c>
      <c r="F19" s="4">
        <v>0.268</v>
      </c>
      <c r="G19" s="4">
        <v>1.398</v>
      </c>
      <c r="H19" s="4">
        <v>0.557</v>
      </c>
      <c r="I19" s="3">
        <f t="shared" si="1"/>
        <v>4.883</v>
      </c>
      <c r="J19" s="3">
        <f t="shared" si="2"/>
        <v>1.5234487</v>
      </c>
      <c r="K19" s="3">
        <f t="shared" si="3"/>
        <v>0.191702432</v>
      </c>
    </row>
    <row r="20">
      <c r="A20" s="2">
        <v>19.0</v>
      </c>
      <c r="B20" s="4">
        <v>8.082</v>
      </c>
      <c r="C20" s="4">
        <v>2.254</v>
      </c>
      <c r="D20" s="4">
        <v>2.761</v>
      </c>
      <c r="E20" s="4">
        <v>1.87</v>
      </c>
      <c r="F20" s="4">
        <v>0.249</v>
      </c>
      <c r="G20" s="4">
        <v>1.642</v>
      </c>
      <c r="H20" s="4">
        <v>0.597</v>
      </c>
      <c r="I20" s="3">
        <f t="shared" si="1"/>
        <v>5.015</v>
      </c>
      <c r="J20" s="3">
        <f t="shared" si="2"/>
        <v>1.611565304</v>
      </c>
      <c r="K20" s="3">
        <f t="shared" si="3"/>
        <v>0.1516443362</v>
      </c>
    </row>
    <row r="21" ht="15.75" customHeight="1">
      <c r="A21" s="2">
        <v>20.0</v>
      </c>
      <c r="B21" s="4">
        <v>9.352</v>
      </c>
      <c r="C21" s="4">
        <v>2.147</v>
      </c>
      <c r="D21" s="4">
        <v>2.741</v>
      </c>
      <c r="E21" s="4">
        <v>1.653</v>
      </c>
      <c r="F21" s="4">
        <v>0.255</v>
      </c>
      <c r="G21" s="4">
        <v>1.087</v>
      </c>
      <c r="H21" s="4">
        <v>0.401</v>
      </c>
      <c r="I21" s="3">
        <f t="shared" si="1"/>
        <v>4.888</v>
      </c>
      <c r="J21" s="3">
        <f t="shared" si="2"/>
        <v>1.913256956</v>
      </c>
      <c r="K21" s="3">
        <f t="shared" si="3"/>
        <v>0.2345906164</v>
      </c>
    </row>
    <row r="22" ht="15.75" customHeight="1">
      <c r="A22" s="2">
        <v>21.0</v>
      </c>
      <c r="B22" s="4">
        <v>9.503</v>
      </c>
      <c r="C22" s="4">
        <v>2.222</v>
      </c>
      <c r="D22" s="4">
        <v>2.687</v>
      </c>
      <c r="E22" s="4">
        <v>1.633</v>
      </c>
      <c r="F22" s="4">
        <v>0.232</v>
      </c>
      <c r="G22" s="4">
        <v>1.408</v>
      </c>
      <c r="H22" s="4">
        <v>0.456</v>
      </c>
      <c r="I22" s="3">
        <f t="shared" si="1"/>
        <v>4.909</v>
      </c>
      <c r="J22" s="3">
        <f t="shared" si="2"/>
        <v>1.935832145</v>
      </c>
      <c r="K22" s="3">
        <f t="shared" si="3"/>
        <v>0.1647727273</v>
      </c>
    </row>
    <row r="23" ht="15.75" customHeight="1">
      <c r="A23" s="2">
        <v>22.0</v>
      </c>
      <c r="B23" s="4">
        <v>7.617</v>
      </c>
      <c r="C23" s="4">
        <v>1.993</v>
      </c>
      <c r="D23" s="4">
        <v>2.318</v>
      </c>
      <c r="E23" s="4">
        <v>1.807</v>
      </c>
      <c r="F23" s="4">
        <v>0.211</v>
      </c>
      <c r="G23" s="4">
        <v>1.251</v>
      </c>
      <c r="H23" s="4">
        <v>0.494</v>
      </c>
      <c r="I23" s="3">
        <f t="shared" si="1"/>
        <v>4.311</v>
      </c>
      <c r="J23" s="3">
        <f t="shared" si="2"/>
        <v>1.766875435</v>
      </c>
      <c r="K23" s="3">
        <f t="shared" si="3"/>
        <v>0.1686650679</v>
      </c>
    </row>
    <row r="24" ht="15.75" customHeight="1">
      <c r="A24" s="2">
        <v>23.0</v>
      </c>
      <c r="B24" s="4">
        <v>9.669</v>
      </c>
      <c r="C24" s="4">
        <v>2.139</v>
      </c>
      <c r="D24" s="4">
        <v>2.864</v>
      </c>
      <c r="E24" s="4">
        <v>1.912</v>
      </c>
      <c r="F24" s="4">
        <v>0.206</v>
      </c>
      <c r="G24" s="4">
        <v>1.414</v>
      </c>
      <c r="H24" s="4">
        <v>0.612</v>
      </c>
      <c r="I24" s="3">
        <f t="shared" si="1"/>
        <v>5.003</v>
      </c>
      <c r="J24" s="3">
        <f t="shared" si="2"/>
        <v>1.932640416</v>
      </c>
      <c r="K24" s="3">
        <f t="shared" si="3"/>
        <v>0.1456859972</v>
      </c>
    </row>
    <row r="25" ht="15.75" customHeight="1">
      <c r="A25" s="2">
        <v>24.0</v>
      </c>
      <c r="B25" s="4">
        <v>9.904</v>
      </c>
      <c r="C25" s="4">
        <v>1.866</v>
      </c>
      <c r="D25" s="4">
        <v>3.139</v>
      </c>
      <c r="E25" s="4">
        <v>1.61</v>
      </c>
      <c r="F25" s="4">
        <v>0.192</v>
      </c>
      <c r="G25" s="4">
        <v>1.446</v>
      </c>
      <c r="H25" s="4">
        <v>0.545</v>
      </c>
      <c r="I25" s="3">
        <f t="shared" si="1"/>
        <v>5.005</v>
      </c>
      <c r="J25" s="3">
        <f t="shared" si="2"/>
        <v>1.978821179</v>
      </c>
      <c r="K25" s="3">
        <f t="shared" si="3"/>
        <v>0.132780083</v>
      </c>
    </row>
    <row r="26" ht="15.75" customHeight="1">
      <c r="A26" s="2">
        <v>25.0</v>
      </c>
      <c r="B26" s="4">
        <v>10.16</v>
      </c>
      <c r="C26" s="4">
        <v>2.415</v>
      </c>
      <c r="D26" s="4">
        <v>2.97</v>
      </c>
      <c r="E26" s="4">
        <v>2.039</v>
      </c>
      <c r="F26" s="4">
        <v>0.161</v>
      </c>
      <c r="G26" s="4">
        <v>1.463</v>
      </c>
      <c r="H26" s="4">
        <v>0.502</v>
      </c>
      <c r="I26" s="3">
        <f t="shared" si="1"/>
        <v>5.385</v>
      </c>
      <c r="J26" s="3">
        <f t="shared" si="2"/>
        <v>1.886722377</v>
      </c>
      <c r="K26" s="3">
        <f t="shared" si="3"/>
        <v>0.1100478469</v>
      </c>
    </row>
    <row r="27" ht="15.75" customHeight="1">
      <c r="A27" s="2">
        <v>26.0</v>
      </c>
      <c r="B27" s="4">
        <v>11.637</v>
      </c>
      <c r="C27" s="4">
        <v>2.167</v>
      </c>
      <c r="D27" s="4">
        <v>2.947</v>
      </c>
      <c r="E27" s="4">
        <v>2.08</v>
      </c>
      <c r="F27" s="4">
        <v>0.166</v>
      </c>
      <c r="G27" s="4">
        <v>1.561</v>
      </c>
      <c r="H27" s="4">
        <v>0.537</v>
      </c>
      <c r="I27" s="3">
        <f t="shared" si="1"/>
        <v>5.114</v>
      </c>
      <c r="J27" s="3">
        <f t="shared" si="2"/>
        <v>2.275518185</v>
      </c>
      <c r="K27" s="3">
        <f t="shared" si="3"/>
        <v>0.1063420884</v>
      </c>
    </row>
    <row r="28" ht="15.75" customHeight="1">
      <c r="A28" s="2">
        <v>27.0</v>
      </c>
      <c r="B28" s="4">
        <v>10.019</v>
      </c>
      <c r="C28" s="4">
        <v>2.245</v>
      </c>
      <c r="D28" s="4">
        <v>2.601</v>
      </c>
      <c r="E28" s="4">
        <v>1.595</v>
      </c>
      <c r="F28" s="4">
        <v>0.148</v>
      </c>
      <c r="G28" s="4">
        <v>1.367</v>
      </c>
      <c r="H28" s="4">
        <v>0.38</v>
      </c>
      <c r="I28" s="3">
        <f t="shared" si="1"/>
        <v>4.846</v>
      </c>
      <c r="J28" s="3">
        <f t="shared" si="2"/>
        <v>2.067478333</v>
      </c>
      <c r="K28" s="3">
        <f t="shared" si="3"/>
        <v>0.1082662765</v>
      </c>
    </row>
    <row r="29" ht="15.75" customHeight="1">
      <c r="A29" s="2">
        <v>28.0</v>
      </c>
      <c r="B29" s="4">
        <v>12.255</v>
      </c>
      <c r="C29" s="4">
        <v>2.531</v>
      </c>
      <c r="D29" s="4">
        <v>2.938</v>
      </c>
      <c r="E29" s="4">
        <v>2.046</v>
      </c>
      <c r="F29" s="4">
        <v>0.3</v>
      </c>
      <c r="G29" s="4">
        <v>1.52</v>
      </c>
      <c r="H29" s="4">
        <v>0.747</v>
      </c>
      <c r="I29" s="3">
        <f t="shared" si="1"/>
        <v>5.469</v>
      </c>
      <c r="J29" s="3">
        <f t="shared" si="2"/>
        <v>2.240811849</v>
      </c>
      <c r="K29" s="3">
        <f t="shared" si="3"/>
        <v>0.1973684211</v>
      </c>
    </row>
    <row r="30" ht="15.75" customHeight="1">
      <c r="A30" s="2">
        <v>29.0</v>
      </c>
      <c r="B30" s="4">
        <v>9.506</v>
      </c>
      <c r="C30" s="4">
        <v>2.209</v>
      </c>
      <c r="D30" s="4">
        <v>2.825</v>
      </c>
      <c r="E30" s="4">
        <v>1.81</v>
      </c>
      <c r="F30" s="4">
        <v>0.203</v>
      </c>
      <c r="G30" s="4">
        <v>1.685</v>
      </c>
      <c r="H30" s="4">
        <v>0.374</v>
      </c>
      <c r="I30" s="3">
        <f t="shared" si="1"/>
        <v>5.034</v>
      </c>
      <c r="J30" s="3">
        <f t="shared" si="2"/>
        <v>1.888359158</v>
      </c>
      <c r="K30" s="3">
        <f t="shared" si="3"/>
        <v>0.1204747774</v>
      </c>
    </row>
    <row r="31" ht="15.75" customHeight="1">
      <c r="A31" s="2">
        <v>30.0</v>
      </c>
      <c r="B31" s="4">
        <v>10.083</v>
      </c>
      <c r="C31" s="4">
        <v>2.149</v>
      </c>
      <c r="D31" s="4">
        <v>2.899</v>
      </c>
      <c r="E31" s="4">
        <v>1.761</v>
      </c>
      <c r="F31" s="4">
        <v>0.34</v>
      </c>
      <c r="G31" s="4">
        <v>1.275</v>
      </c>
      <c r="H31" s="4">
        <v>0.603</v>
      </c>
      <c r="I31" s="3">
        <f t="shared" si="1"/>
        <v>5.048</v>
      </c>
      <c r="J31" s="3">
        <f t="shared" si="2"/>
        <v>1.997424723</v>
      </c>
      <c r="K31" s="3">
        <f t="shared" si="3"/>
        <v>0.2666666667</v>
      </c>
    </row>
    <row r="32" ht="15.75" customHeight="1">
      <c r="A32" s="2" t="s">
        <v>11</v>
      </c>
      <c r="B32" s="3">
        <f t="shared" ref="B32:K32" si="4">AVERAGE(B2:B31)</f>
        <v>8.982433333</v>
      </c>
      <c r="C32" s="3">
        <f t="shared" si="4"/>
        <v>2.1647</v>
      </c>
      <c r="D32" s="3">
        <f t="shared" si="4"/>
        <v>2.663433333</v>
      </c>
      <c r="E32" s="3">
        <f t="shared" si="4"/>
        <v>1.7673</v>
      </c>
      <c r="F32" s="3">
        <f t="shared" si="4"/>
        <v>0.2155666667</v>
      </c>
      <c r="G32" s="3">
        <f t="shared" si="4"/>
        <v>1.4465</v>
      </c>
      <c r="H32" s="3">
        <f t="shared" si="4"/>
        <v>0.5269666667</v>
      </c>
      <c r="I32" s="3">
        <f t="shared" si="4"/>
        <v>4.828133333</v>
      </c>
      <c r="J32" s="3">
        <f t="shared" si="4"/>
        <v>1.855282665</v>
      </c>
      <c r="K32" s="3">
        <f t="shared" si="4"/>
        <v>0.1503275024</v>
      </c>
    </row>
    <row r="33" ht="15.75" customHeight="1">
      <c r="A33" s="2" t="s">
        <v>12</v>
      </c>
      <c r="B33" s="3">
        <f t="shared" ref="B33:K33" si="5">STDEV(B2:B31)</f>
        <v>1.308235075</v>
      </c>
      <c r="C33" s="3">
        <f t="shared" si="5"/>
        <v>0.1740483781</v>
      </c>
      <c r="D33" s="3">
        <f t="shared" si="5"/>
        <v>0.2210742867</v>
      </c>
      <c r="E33" s="3">
        <f t="shared" si="5"/>
        <v>0.2204949214</v>
      </c>
      <c r="F33" s="3">
        <f t="shared" si="5"/>
        <v>0.0526286164</v>
      </c>
      <c r="G33" s="3">
        <f t="shared" si="5"/>
        <v>0.1331247147</v>
      </c>
      <c r="H33" s="3">
        <f t="shared" si="5"/>
        <v>0.1066846734</v>
      </c>
      <c r="I33" s="3">
        <f t="shared" si="5"/>
        <v>0.3161327453</v>
      </c>
      <c r="J33" s="3">
        <f t="shared" si="5"/>
        <v>0.1912751634</v>
      </c>
      <c r="K33" s="3">
        <f t="shared" si="5"/>
        <v>0.04057415701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11.986</v>
      </c>
      <c r="C2" s="3">
        <v>1.545</v>
      </c>
      <c r="D2" s="3">
        <v>2.369</v>
      </c>
      <c r="E2" s="3">
        <v>1.487</v>
      </c>
      <c r="F2" s="3">
        <v>0.199</v>
      </c>
      <c r="G2" s="3">
        <v>1.228</v>
      </c>
      <c r="H2" s="3">
        <v>0.302</v>
      </c>
      <c r="I2" s="3">
        <f t="shared" ref="I2:I20" si="1">C2+D2</f>
        <v>3.914</v>
      </c>
      <c r="J2" s="3">
        <f t="shared" ref="J2:J20" si="2">B2/I2</f>
        <v>3.062340317</v>
      </c>
      <c r="K2" s="3">
        <f t="shared" ref="K2:K20" si="3">F2/G2</f>
        <v>0.1620521173</v>
      </c>
    </row>
    <row r="3">
      <c r="A3" s="2">
        <v>2.0</v>
      </c>
      <c r="B3" s="3">
        <v>8.635</v>
      </c>
      <c r="C3" s="3">
        <v>1.825</v>
      </c>
      <c r="D3" s="3">
        <v>2.518</v>
      </c>
      <c r="E3" s="3">
        <v>1.445</v>
      </c>
      <c r="F3" s="3">
        <v>0.299</v>
      </c>
      <c r="G3" s="3">
        <v>1.337</v>
      </c>
      <c r="H3" s="3">
        <v>0.513</v>
      </c>
      <c r="I3" s="3">
        <f t="shared" si="1"/>
        <v>4.343</v>
      </c>
      <c r="J3" s="3">
        <f t="shared" si="2"/>
        <v>1.988256965</v>
      </c>
      <c r="K3" s="3">
        <f t="shared" si="3"/>
        <v>0.2236350037</v>
      </c>
    </row>
    <row r="4">
      <c r="A4" s="2">
        <v>3.0</v>
      </c>
      <c r="B4" s="3">
        <v>12.323</v>
      </c>
      <c r="C4" s="3">
        <v>1.809</v>
      </c>
      <c r="D4" s="3">
        <v>2.708</v>
      </c>
      <c r="E4" s="3">
        <v>1.821</v>
      </c>
      <c r="F4" s="3">
        <v>0.352</v>
      </c>
      <c r="G4" s="3">
        <v>1.49</v>
      </c>
      <c r="H4" s="3">
        <v>0.659</v>
      </c>
      <c r="I4" s="3">
        <f t="shared" si="1"/>
        <v>4.517</v>
      </c>
      <c r="J4" s="3">
        <f t="shared" si="2"/>
        <v>2.728138145</v>
      </c>
      <c r="K4" s="3">
        <f t="shared" si="3"/>
        <v>0.2362416107</v>
      </c>
    </row>
    <row r="5">
      <c r="A5" s="2">
        <v>4.0</v>
      </c>
      <c r="B5" s="3">
        <v>12.049</v>
      </c>
      <c r="C5" s="3">
        <v>1.871</v>
      </c>
      <c r="D5" s="3">
        <v>2.642</v>
      </c>
      <c r="E5" s="3">
        <v>1.631</v>
      </c>
      <c r="F5" s="3">
        <v>0.361</v>
      </c>
      <c r="G5" s="3">
        <v>1.411</v>
      </c>
      <c r="H5" s="3">
        <v>0.448</v>
      </c>
      <c r="I5" s="3">
        <f t="shared" si="1"/>
        <v>4.513</v>
      </c>
      <c r="J5" s="3">
        <f t="shared" si="2"/>
        <v>2.669842677</v>
      </c>
      <c r="K5" s="3">
        <f t="shared" si="3"/>
        <v>0.2558469171</v>
      </c>
    </row>
    <row r="6">
      <c r="A6" s="2">
        <v>5.0</v>
      </c>
      <c r="B6" s="3">
        <v>9.482</v>
      </c>
      <c r="C6" s="3">
        <v>1.62</v>
      </c>
      <c r="D6" s="3">
        <v>2.512</v>
      </c>
      <c r="E6" s="3">
        <v>1.49</v>
      </c>
      <c r="F6" s="3">
        <v>0.218</v>
      </c>
      <c r="G6" s="3">
        <v>1.305</v>
      </c>
      <c r="H6" s="3">
        <v>0.417</v>
      </c>
      <c r="I6" s="3">
        <f t="shared" si="1"/>
        <v>4.132</v>
      </c>
      <c r="J6" s="3">
        <f t="shared" si="2"/>
        <v>2.294772507</v>
      </c>
      <c r="K6" s="3">
        <f t="shared" si="3"/>
        <v>0.1670498084</v>
      </c>
    </row>
    <row r="7">
      <c r="A7" s="2">
        <v>6.0</v>
      </c>
      <c r="B7" s="3">
        <v>8.921</v>
      </c>
      <c r="C7" s="3">
        <v>1.665</v>
      </c>
      <c r="D7" s="3">
        <v>2.173</v>
      </c>
      <c r="E7" s="3">
        <v>1.652</v>
      </c>
      <c r="F7" s="3">
        <v>0.204</v>
      </c>
      <c r="G7" s="3">
        <v>1.272</v>
      </c>
      <c r="H7" s="3">
        <v>0.381</v>
      </c>
      <c r="I7" s="3">
        <f t="shared" si="1"/>
        <v>3.838</v>
      </c>
      <c r="J7" s="3">
        <f t="shared" si="2"/>
        <v>2.324387702</v>
      </c>
      <c r="K7" s="3">
        <f t="shared" si="3"/>
        <v>0.1603773585</v>
      </c>
    </row>
    <row r="8">
      <c r="A8" s="2">
        <v>7.0</v>
      </c>
      <c r="B8" s="3">
        <v>10.318</v>
      </c>
      <c r="C8" s="3">
        <v>1.691</v>
      </c>
      <c r="D8" s="3">
        <v>2.711</v>
      </c>
      <c r="E8" s="3">
        <v>2.0</v>
      </c>
      <c r="F8" s="3">
        <v>0.37</v>
      </c>
      <c r="G8" s="3">
        <v>1.36</v>
      </c>
      <c r="H8" s="3">
        <v>0.391</v>
      </c>
      <c r="I8" s="3">
        <f t="shared" si="1"/>
        <v>4.402</v>
      </c>
      <c r="J8" s="3">
        <f t="shared" si="2"/>
        <v>2.343934575</v>
      </c>
      <c r="K8" s="3">
        <f t="shared" si="3"/>
        <v>0.2720588235</v>
      </c>
    </row>
    <row r="9">
      <c r="A9" s="2">
        <v>8.0</v>
      </c>
      <c r="B9" s="3">
        <v>12.384</v>
      </c>
      <c r="C9" s="3">
        <v>1.892</v>
      </c>
      <c r="D9" s="3">
        <v>2.699</v>
      </c>
      <c r="E9" s="3">
        <v>1.678</v>
      </c>
      <c r="F9" s="3">
        <v>0.294</v>
      </c>
      <c r="G9" s="3">
        <v>1.453</v>
      </c>
      <c r="H9" s="3">
        <v>0.372</v>
      </c>
      <c r="I9" s="3">
        <f t="shared" si="1"/>
        <v>4.591</v>
      </c>
      <c r="J9" s="3">
        <f t="shared" si="2"/>
        <v>2.697451536</v>
      </c>
      <c r="K9" s="3">
        <f t="shared" si="3"/>
        <v>0.2023399862</v>
      </c>
    </row>
    <row r="10">
      <c r="A10" s="2">
        <v>9.0</v>
      </c>
      <c r="B10" s="3">
        <v>9.987</v>
      </c>
      <c r="C10" s="3">
        <v>1.876</v>
      </c>
      <c r="D10" s="3">
        <v>2.605</v>
      </c>
      <c r="E10" s="3">
        <v>1.547</v>
      </c>
      <c r="F10" s="3">
        <v>0.26</v>
      </c>
      <c r="G10" s="3">
        <v>1.532</v>
      </c>
      <c r="H10" s="3">
        <v>0.484</v>
      </c>
      <c r="I10" s="3">
        <f t="shared" si="1"/>
        <v>4.481</v>
      </c>
      <c r="J10" s="3">
        <f t="shared" si="2"/>
        <v>2.228743584</v>
      </c>
      <c r="K10" s="3">
        <f t="shared" si="3"/>
        <v>0.1697127937</v>
      </c>
    </row>
    <row r="11">
      <c r="A11" s="2">
        <v>10.0</v>
      </c>
      <c r="B11" s="4">
        <v>11.805</v>
      </c>
      <c r="C11" s="4">
        <v>1.648</v>
      </c>
      <c r="D11" s="4">
        <v>2.828</v>
      </c>
      <c r="E11" s="4">
        <v>1.85</v>
      </c>
      <c r="F11" s="4">
        <v>0.208</v>
      </c>
      <c r="G11" s="4">
        <v>1.425</v>
      </c>
      <c r="H11" s="4">
        <v>0.347</v>
      </c>
      <c r="I11" s="3">
        <f t="shared" si="1"/>
        <v>4.476</v>
      </c>
      <c r="J11" s="3">
        <f t="shared" si="2"/>
        <v>2.637399464</v>
      </c>
      <c r="K11" s="3">
        <f t="shared" si="3"/>
        <v>0.1459649123</v>
      </c>
    </row>
    <row r="12">
      <c r="A12" s="2">
        <v>11.0</v>
      </c>
      <c r="B12" s="4">
        <v>10.012</v>
      </c>
      <c r="C12" s="4">
        <v>1.64</v>
      </c>
      <c r="D12" s="4">
        <v>2.542</v>
      </c>
      <c r="E12" s="4">
        <v>1.625</v>
      </c>
      <c r="F12" s="4">
        <v>0.256</v>
      </c>
      <c r="G12" s="4">
        <v>1.337</v>
      </c>
      <c r="H12" s="4">
        <v>0.305</v>
      </c>
      <c r="I12" s="3">
        <f t="shared" si="1"/>
        <v>4.182</v>
      </c>
      <c r="J12" s="3">
        <f t="shared" si="2"/>
        <v>2.394069823</v>
      </c>
      <c r="K12" s="3">
        <f t="shared" si="3"/>
        <v>0.191473448</v>
      </c>
    </row>
    <row r="13">
      <c r="A13" s="2">
        <v>12.0</v>
      </c>
      <c r="B13" s="4">
        <v>9.694</v>
      </c>
      <c r="C13" s="4">
        <v>2.048</v>
      </c>
      <c r="D13" s="4">
        <v>2.495</v>
      </c>
      <c r="E13" s="4">
        <v>1.733</v>
      </c>
      <c r="F13" s="4">
        <v>0.178</v>
      </c>
      <c r="G13" s="4">
        <v>1.461</v>
      </c>
      <c r="H13" s="4">
        <v>0.367</v>
      </c>
      <c r="I13" s="3">
        <f t="shared" si="1"/>
        <v>4.543</v>
      </c>
      <c r="J13" s="3">
        <f t="shared" si="2"/>
        <v>2.133832269</v>
      </c>
      <c r="K13" s="3">
        <f t="shared" si="3"/>
        <v>0.12183436</v>
      </c>
    </row>
    <row r="14">
      <c r="A14" s="2">
        <v>13.0</v>
      </c>
      <c r="B14" s="4">
        <v>12.0</v>
      </c>
      <c r="C14" s="4">
        <v>1.876</v>
      </c>
      <c r="D14" s="4">
        <v>2.812</v>
      </c>
      <c r="E14" s="4">
        <v>1.569</v>
      </c>
      <c r="F14" s="4">
        <v>0.246</v>
      </c>
      <c r="G14" s="4">
        <v>1.364</v>
      </c>
      <c r="H14" s="4">
        <v>0.326</v>
      </c>
      <c r="I14" s="3">
        <f t="shared" si="1"/>
        <v>4.688</v>
      </c>
      <c r="J14" s="3">
        <f t="shared" si="2"/>
        <v>2.559726962</v>
      </c>
      <c r="K14" s="3">
        <f t="shared" si="3"/>
        <v>0.1803519062</v>
      </c>
    </row>
    <row r="15">
      <c r="A15" s="2">
        <v>14.0</v>
      </c>
      <c r="B15" s="4">
        <v>8.661</v>
      </c>
      <c r="C15" s="4">
        <v>1.768</v>
      </c>
      <c r="D15" s="4">
        <v>2.349</v>
      </c>
      <c r="E15" s="4">
        <v>1.601</v>
      </c>
      <c r="F15" s="4">
        <v>0.179</v>
      </c>
      <c r="G15" s="4">
        <v>1.237</v>
      </c>
      <c r="H15" s="4">
        <v>0.309</v>
      </c>
      <c r="I15" s="3">
        <f t="shared" si="1"/>
        <v>4.117</v>
      </c>
      <c r="J15" s="3">
        <f t="shared" si="2"/>
        <v>2.103716298</v>
      </c>
      <c r="K15" s="3">
        <f t="shared" si="3"/>
        <v>0.1447049313</v>
      </c>
    </row>
    <row r="16">
      <c r="A16" s="2">
        <v>15.0</v>
      </c>
      <c r="B16" s="4">
        <v>12.418</v>
      </c>
      <c r="C16" s="4">
        <v>1.936</v>
      </c>
      <c r="D16" s="4">
        <v>2.827</v>
      </c>
      <c r="E16" s="4">
        <v>2.356</v>
      </c>
      <c r="F16" s="4">
        <v>0.216</v>
      </c>
      <c r="G16" s="4">
        <v>1.508</v>
      </c>
      <c r="H16" s="4">
        <v>0.37</v>
      </c>
      <c r="I16" s="3">
        <f t="shared" si="1"/>
        <v>4.763</v>
      </c>
      <c r="J16" s="3">
        <f t="shared" si="2"/>
        <v>2.607180349</v>
      </c>
      <c r="K16" s="3">
        <f t="shared" si="3"/>
        <v>0.1432360743</v>
      </c>
    </row>
    <row r="17">
      <c r="A17" s="2">
        <v>16.0</v>
      </c>
      <c r="B17" s="4">
        <v>9.112</v>
      </c>
      <c r="C17" s="4">
        <v>1.784</v>
      </c>
      <c r="D17" s="4">
        <v>2.349</v>
      </c>
      <c r="E17" s="4">
        <v>1.266</v>
      </c>
      <c r="F17" s="4">
        <v>0.274</v>
      </c>
      <c r="G17" s="4">
        <v>1.395</v>
      </c>
      <c r="H17" s="4">
        <v>0.229</v>
      </c>
      <c r="I17" s="3">
        <f t="shared" si="1"/>
        <v>4.133</v>
      </c>
      <c r="J17" s="3">
        <f t="shared" si="2"/>
        <v>2.204693927</v>
      </c>
      <c r="K17" s="3">
        <f t="shared" si="3"/>
        <v>0.1964157706</v>
      </c>
    </row>
    <row r="18">
      <c r="A18" s="2">
        <v>17.0</v>
      </c>
      <c r="B18" s="4">
        <v>9.405</v>
      </c>
      <c r="C18" s="4">
        <v>1.96</v>
      </c>
      <c r="D18" s="4">
        <v>2.577</v>
      </c>
      <c r="E18" s="4">
        <v>1.566</v>
      </c>
      <c r="F18" s="4">
        <v>0.261</v>
      </c>
      <c r="G18" s="4">
        <v>1.534</v>
      </c>
      <c r="H18" s="4">
        <v>0.443</v>
      </c>
      <c r="I18" s="3">
        <f t="shared" si="1"/>
        <v>4.537</v>
      </c>
      <c r="J18" s="3">
        <f t="shared" si="2"/>
        <v>2.072955698</v>
      </c>
      <c r="K18" s="3">
        <f t="shared" si="3"/>
        <v>0.1701434159</v>
      </c>
    </row>
    <row r="19">
      <c r="A19" s="2">
        <v>18.0</v>
      </c>
      <c r="B19" s="4">
        <v>11.312</v>
      </c>
      <c r="C19" s="4">
        <v>1.805</v>
      </c>
      <c r="D19" s="4">
        <v>2.813</v>
      </c>
      <c r="E19" s="4">
        <v>1.65</v>
      </c>
      <c r="F19" s="4">
        <v>0.229</v>
      </c>
      <c r="G19" s="4">
        <v>1.435</v>
      </c>
      <c r="H19" s="4">
        <v>0.414</v>
      </c>
      <c r="I19" s="3">
        <f t="shared" si="1"/>
        <v>4.618</v>
      </c>
      <c r="J19" s="3">
        <f t="shared" si="2"/>
        <v>2.449545258</v>
      </c>
      <c r="K19" s="3">
        <f t="shared" si="3"/>
        <v>0.1595818815</v>
      </c>
    </row>
    <row r="20">
      <c r="A20" s="2">
        <v>19.0</v>
      </c>
      <c r="B20" s="4">
        <v>7.502</v>
      </c>
      <c r="C20" s="4">
        <v>1.354</v>
      </c>
      <c r="D20" s="4">
        <v>2.097</v>
      </c>
      <c r="E20" s="4">
        <v>1.427</v>
      </c>
      <c r="F20" s="4">
        <v>0.221</v>
      </c>
      <c r="G20" s="4">
        <v>1.066</v>
      </c>
      <c r="H20" s="4">
        <v>0.338</v>
      </c>
      <c r="I20" s="3">
        <f t="shared" si="1"/>
        <v>3.451</v>
      </c>
      <c r="J20" s="3">
        <f t="shared" si="2"/>
        <v>2.173862649</v>
      </c>
      <c r="K20" s="3">
        <f t="shared" si="3"/>
        <v>0.2073170732</v>
      </c>
    </row>
    <row r="21" ht="15.75" customHeight="1">
      <c r="A21" s="2" t="s">
        <v>11</v>
      </c>
      <c r="B21" s="3">
        <f t="shared" ref="B21:K21" si="4">AVERAGE(B2:B20)</f>
        <v>10.42136842</v>
      </c>
      <c r="C21" s="3">
        <f t="shared" si="4"/>
        <v>1.769105263</v>
      </c>
      <c r="D21" s="3">
        <f t="shared" si="4"/>
        <v>2.559263158</v>
      </c>
      <c r="E21" s="3">
        <f t="shared" si="4"/>
        <v>1.652315789</v>
      </c>
      <c r="F21" s="3">
        <f t="shared" si="4"/>
        <v>0.2539473684</v>
      </c>
      <c r="G21" s="3">
        <f t="shared" si="4"/>
        <v>1.376315789</v>
      </c>
      <c r="H21" s="3">
        <f t="shared" si="4"/>
        <v>0.3902631579</v>
      </c>
      <c r="I21" s="3">
        <f t="shared" si="4"/>
        <v>4.328368421</v>
      </c>
      <c r="J21" s="3">
        <f t="shared" si="4"/>
        <v>2.403939511</v>
      </c>
      <c r="K21" s="3">
        <f t="shared" si="4"/>
        <v>0.1847546417</v>
      </c>
    </row>
    <row r="22" ht="15.75" customHeight="1">
      <c r="A22" s="2" t="s">
        <v>12</v>
      </c>
      <c r="B22" s="3">
        <f t="shared" ref="B22:K22" si="5">STDEV(B2:B20)</f>
        <v>1.551725857</v>
      </c>
      <c r="C22" s="3">
        <f t="shared" si="5"/>
        <v>0.1649383369</v>
      </c>
      <c r="D22" s="3">
        <f t="shared" si="5"/>
        <v>0.2162762745</v>
      </c>
      <c r="E22" s="3">
        <f t="shared" si="5"/>
        <v>0.2376673802</v>
      </c>
      <c r="F22" s="3">
        <f t="shared" si="5"/>
        <v>0.05877591503</v>
      </c>
      <c r="G22" s="3">
        <f t="shared" si="5"/>
        <v>0.1194813108</v>
      </c>
      <c r="H22" s="3">
        <f t="shared" si="5"/>
        <v>0.09464485788</v>
      </c>
      <c r="I22" s="3">
        <f t="shared" si="5"/>
        <v>0.3338213445</v>
      </c>
      <c r="J22" s="3">
        <f t="shared" si="5"/>
        <v>0.2797137474</v>
      </c>
      <c r="K22" s="3">
        <f t="shared" si="5"/>
        <v>0.04023917707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12.979</v>
      </c>
      <c r="C2" s="3">
        <v>2.592</v>
      </c>
      <c r="D2" s="3">
        <v>2.805</v>
      </c>
      <c r="E2" s="3">
        <v>1.945</v>
      </c>
      <c r="F2" s="3">
        <v>0.302</v>
      </c>
      <c r="G2" s="3">
        <v>1.7</v>
      </c>
      <c r="H2" s="3">
        <v>0.941</v>
      </c>
      <c r="I2" s="3">
        <f t="shared" ref="I2:I36" si="1">C2+D2</f>
        <v>5.397</v>
      </c>
      <c r="J2" s="3">
        <f t="shared" ref="J2:J36" si="2">B2/I2</f>
        <v>2.404854549</v>
      </c>
      <c r="K2" s="3">
        <f t="shared" ref="K2:K36" si="3">F2/G2</f>
        <v>0.1776470588</v>
      </c>
    </row>
    <row r="3">
      <c r="A3" s="2">
        <v>2.0</v>
      </c>
      <c r="B3" s="3">
        <v>16.743</v>
      </c>
      <c r="C3" s="3">
        <v>2.648</v>
      </c>
      <c r="D3" s="3">
        <v>3.314</v>
      </c>
      <c r="E3" s="3">
        <v>2.241</v>
      </c>
      <c r="F3" s="3">
        <v>0.37</v>
      </c>
      <c r="G3" s="3">
        <v>1.989</v>
      </c>
      <c r="H3" s="3">
        <v>0.752</v>
      </c>
      <c r="I3" s="3">
        <f t="shared" si="1"/>
        <v>5.962</v>
      </c>
      <c r="J3" s="3">
        <f t="shared" si="2"/>
        <v>2.80828581</v>
      </c>
      <c r="K3" s="3">
        <f t="shared" si="3"/>
        <v>0.1860231272</v>
      </c>
    </row>
    <row r="4">
      <c r="A4" s="2">
        <v>3.0</v>
      </c>
      <c r="B4" s="3">
        <v>9.567</v>
      </c>
      <c r="C4" s="3">
        <v>1.871</v>
      </c>
      <c r="D4" s="3">
        <v>2.965</v>
      </c>
      <c r="E4" s="3">
        <v>1.561</v>
      </c>
      <c r="F4" s="3">
        <v>0.281</v>
      </c>
      <c r="G4" s="3">
        <v>1.56</v>
      </c>
      <c r="H4" s="3">
        <v>0.577</v>
      </c>
      <c r="I4" s="3">
        <f t="shared" si="1"/>
        <v>4.836</v>
      </c>
      <c r="J4" s="3">
        <f t="shared" si="2"/>
        <v>1.978287841</v>
      </c>
      <c r="K4" s="3">
        <f t="shared" si="3"/>
        <v>0.1801282051</v>
      </c>
    </row>
    <row r="5">
      <c r="A5" s="2">
        <v>4.0</v>
      </c>
      <c r="B5" s="3">
        <v>18.089</v>
      </c>
      <c r="C5" s="3">
        <v>2.976</v>
      </c>
      <c r="D5" s="3">
        <v>3.457</v>
      </c>
      <c r="E5" s="3">
        <v>2.571</v>
      </c>
      <c r="F5" s="3">
        <v>0.339</v>
      </c>
      <c r="G5" s="3">
        <v>2.075</v>
      </c>
      <c r="H5" s="3">
        <v>0.866</v>
      </c>
      <c r="I5" s="3">
        <f t="shared" si="1"/>
        <v>6.433</v>
      </c>
      <c r="J5" s="3">
        <f t="shared" si="2"/>
        <v>2.811907353</v>
      </c>
      <c r="K5" s="3">
        <f t="shared" si="3"/>
        <v>0.163373494</v>
      </c>
    </row>
    <row r="6">
      <c r="A6" s="2">
        <v>5.0</v>
      </c>
      <c r="B6" s="3">
        <v>13.842</v>
      </c>
      <c r="C6" s="3">
        <v>2.708</v>
      </c>
      <c r="D6" s="3">
        <v>2.8831</v>
      </c>
      <c r="E6" s="3">
        <v>2.178</v>
      </c>
      <c r="F6" s="3">
        <v>0.286</v>
      </c>
      <c r="G6" s="3">
        <v>1.573</v>
      </c>
      <c r="H6" s="3">
        <v>0.655</v>
      </c>
      <c r="I6" s="3">
        <f t="shared" si="1"/>
        <v>5.5911</v>
      </c>
      <c r="J6" s="3">
        <f t="shared" si="2"/>
        <v>2.475720341</v>
      </c>
      <c r="K6" s="3">
        <f t="shared" si="3"/>
        <v>0.1818181818</v>
      </c>
    </row>
    <row r="7">
      <c r="A7" s="2">
        <v>6.0</v>
      </c>
      <c r="B7" s="3">
        <v>14.856</v>
      </c>
      <c r="C7" s="3">
        <v>2.609</v>
      </c>
      <c r="D7" s="3">
        <v>3.071</v>
      </c>
      <c r="E7" s="3">
        <v>1.979</v>
      </c>
      <c r="F7" s="3">
        <v>0.337</v>
      </c>
      <c r="G7" s="3">
        <v>1.574</v>
      </c>
      <c r="H7" s="3">
        <v>0.565</v>
      </c>
      <c r="I7" s="3">
        <f t="shared" si="1"/>
        <v>5.68</v>
      </c>
      <c r="J7" s="3">
        <f t="shared" si="2"/>
        <v>2.615492958</v>
      </c>
      <c r="K7" s="3">
        <f t="shared" si="3"/>
        <v>0.2141041931</v>
      </c>
    </row>
    <row r="8">
      <c r="A8" s="2">
        <v>7.0</v>
      </c>
      <c r="B8" s="3">
        <v>9.714</v>
      </c>
      <c r="C8" s="3">
        <v>2.278</v>
      </c>
      <c r="D8" s="3">
        <v>2.585</v>
      </c>
      <c r="E8" s="3">
        <v>2.058</v>
      </c>
      <c r="F8" s="3">
        <v>0.27</v>
      </c>
      <c r="G8" s="3">
        <v>1.593</v>
      </c>
      <c r="H8" s="3">
        <v>0.854</v>
      </c>
      <c r="I8" s="3">
        <f t="shared" si="1"/>
        <v>4.863</v>
      </c>
      <c r="J8" s="3">
        <f t="shared" si="2"/>
        <v>1.997532387</v>
      </c>
      <c r="K8" s="3">
        <f t="shared" si="3"/>
        <v>0.1694915254</v>
      </c>
    </row>
    <row r="9">
      <c r="A9" s="2">
        <v>8.0</v>
      </c>
      <c r="B9" s="3">
        <v>13.231</v>
      </c>
      <c r="C9" s="3">
        <v>2.468</v>
      </c>
      <c r="D9" s="3">
        <v>3.19</v>
      </c>
      <c r="E9" s="3">
        <v>2.11</v>
      </c>
      <c r="F9" s="3">
        <v>0.396</v>
      </c>
      <c r="G9" s="3">
        <v>1.887</v>
      </c>
      <c r="H9" s="3">
        <v>0.954</v>
      </c>
      <c r="I9" s="3">
        <f t="shared" si="1"/>
        <v>5.658</v>
      </c>
      <c r="J9" s="3">
        <f t="shared" si="2"/>
        <v>2.338458819</v>
      </c>
      <c r="K9" s="3">
        <f t="shared" si="3"/>
        <v>0.2098569157</v>
      </c>
    </row>
    <row r="10">
      <c r="A10" s="2">
        <v>9.0</v>
      </c>
      <c r="B10" s="3">
        <v>9.167</v>
      </c>
      <c r="C10" s="3">
        <v>2.357</v>
      </c>
      <c r="D10" s="3">
        <v>2.671</v>
      </c>
      <c r="E10" s="3">
        <v>1.917</v>
      </c>
      <c r="F10" s="3">
        <v>0.315</v>
      </c>
      <c r="G10" s="3">
        <v>1.606</v>
      </c>
      <c r="H10" s="3">
        <v>0.475</v>
      </c>
      <c r="I10" s="3">
        <f t="shared" si="1"/>
        <v>5.028</v>
      </c>
      <c r="J10" s="3">
        <f t="shared" si="2"/>
        <v>1.823190135</v>
      </c>
      <c r="K10" s="3">
        <f t="shared" si="3"/>
        <v>0.196139477</v>
      </c>
    </row>
    <row r="11">
      <c r="A11" s="2">
        <v>10.0</v>
      </c>
      <c r="B11" s="4">
        <v>12.874</v>
      </c>
      <c r="C11" s="4">
        <v>2.577</v>
      </c>
      <c r="D11" s="4">
        <v>3.334</v>
      </c>
      <c r="E11" s="4">
        <v>2.128</v>
      </c>
      <c r="F11" s="4">
        <v>0.313</v>
      </c>
      <c r="G11" s="4">
        <v>1.717</v>
      </c>
      <c r="H11" s="4">
        <v>0.774</v>
      </c>
      <c r="I11" s="3">
        <f t="shared" si="1"/>
        <v>5.911</v>
      </c>
      <c r="J11" s="3">
        <f t="shared" si="2"/>
        <v>2.17797327</v>
      </c>
      <c r="K11" s="3">
        <f t="shared" si="3"/>
        <v>0.1822947001</v>
      </c>
    </row>
    <row r="12">
      <c r="A12" s="2">
        <v>11.0</v>
      </c>
      <c r="B12" s="4">
        <v>12.603</v>
      </c>
      <c r="C12" s="4">
        <v>2.557</v>
      </c>
      <c r="D12" s="4">
        <v>3.019</v>
      </c>
      <c r="E12" s="4">
        <v>2.19</v>
      </c>
      <c r="F12" s="4">
        <v>0.266</v>
      </c>
      <c r="G12" s="4">
        <v>1.752</v>
      </c>
      <c r="H12" s="4">
        <v>0.734</v>
      </c>
      <c r="I12" s="3">
        <f t="shared" si="1"/>
        <v>5.576</v>
      </c>
      <c r="J12" s="3">
        <f t="shared" si="2"/>
        <v>2.260222382</v>
      </c>
      <c r="K12" s="3">
        <f t="shared" si="3"/>
        <v>0.151826484</v>
      </c>
    </row>
    <row r="13">
      <c r="A13" s="2">
        <v>12.0</v>
      </c>
      <c r="B13" s="4">
        <v>11.307</v>
      </c>
      <c r="C13" s="4">
        <v>2.512</v>
      </c>
      <c r="D13" s="4">
        <v>3.17</v>
      </c>
      <c r="E13" s="4">
        <v>1.909</v>
      </c>
      <c r="F13" s="4">
        <v>0.344</v>
      </c>
      <c r="G13" s="4">
        <v>1.669</v>
      </c>
      <c r="H13" s="4">
        <v>0.887</v>
      </c>
      <c r="I13" s="3">
        <f t="shared" si="1"/>
        <v>5.682</v>
      </c>
      <c r="J13" s="3">
        <f t="shared" si="2"/>
        <v>1.989968321</v>
      </c>
      <c r="K13" s="3">
        <f t="shared" si="3"/>
        <v>0.206111444</v>
      </c>
    </row>
    <row r="14">
      <c r="A14" s="2">
        <v>13.0</v>
      </c>
      <c r="B14" s="4">
        <v>13.933</v>
      </c>
      <c r="C14" s="4">
        <v>2.644</v>
      </c>
      <c r="D14" s="4">
        <v>3.198</v>
      </c>
      <c r="E14" s="4">
        <v>2.106</v>
      </c>
      <c r="F14" s="4">
        <v>0.548</v>
      </c>
      <c r="G14" s="4">
        <v>1.849</v>
      </c>
      <c r="H14" s="4">
        <v>0.834</v>
      </c>
      <c r="I14" s="3">
        <f t="shared" si="1"/>
        <v>5.842</v>
      </c>
      <c r="J14" s="3">
        <f t="shared" si="2"/>
        <v>2.3849709</v>
      </c>
      <c r="K14" s="3">
        <f t="shared" si="3"/>
        <v>0.2963764197</v>
      </c>
    </row>
    <row r="15">
      <c r="A15" s="2">
        <v>14.0</v>
      </c>
      <c r="B15" s="4">
        <v>13.412</v>
      </c>
      <c r="C15" s="4">
        <v>2.503</v>
      </c>
      <c r="D15" s="4">
        <v>3.172</v>
      </c>
      <c r="E15" s="4">
        <v>2.439</v>
      </c>
      <c r="F15" s="4">
        <v>0.352</v>
      </c>
      <c r="G15" s="4">
        <v>1.623</v>
      </c>
      <c r="H15" s="4">
        <v>0.555</v>
      </c>
      <c r="I15" s="3">
        <f t="shared" si="1"/>
        <v>5.675</v>
      </c>
      <c r="J15" s="3">
        <f t="shared" si="2"/>
        <v>2.363348018</v>
      </c>
      <c r="K15" s="3">
        <f t="shared" si="3"/>
        <v>0.2168823167</v>
      </c>
    </row>
    <row r="16">
      <c r="A16" s="2">
        <v>15.0</v>
      </c>
      <c r="B16" s="4">
        <v>13.185</v>
      </c>
      <c r="C16" s="4">
        <v>2.551</v>
      </c>
      <c r="D16" s="4">
        <v>3.094</v>
      </c>
      <c r="E16" s="4">
        <v>2.045</v>
      </c>
      <c r="F16" s="4">
        <v>0.234</v>
      </c>
      <c r="G16" s="4">
        <v>1.756</v>
      </c>
      <c r="H16" s="4">
        <v>0.718</v>
      </c>
      <c r="I16" s="3">
        <f t="shared" si="1"/>
        <v>5.645</v>
      </c>
      <c r="J16" s="3">
        <f t="shared" si="2"/>
        <v>2.335695306</v>
      </c>
      <c r="K16" s="3">
        <f t="shared" si="3"/>
        <v>0.1332574032</v>
      </c>
    </row>
    <row r="17">
      <c r="A17" s="2">
        <v>16.0</v>
      </c>
      <c r="B17" s="4">
        <v>14.949</v>
      </c>
      <c r="C17" s="4">
        <v>2.889</v>
      </c>
      <c r="D17" s="4">
        <v>3.301</v>
      </c>
      <c r="E17" s="4">
        <v>2.208</v>
      </c>
      <c r="F17" s="4">
        <v>0.295</v>
      </c>
      <c r="G17" s="4">
        <v>1.859</v>
      </c>
      <c r="H17" s="4">
        <v>0.929</v>
      </c>
      <c r="I17" s="3">
        <f t="shared" si="1"/>
        <v>6.19</v>
      </c>
      <c r="J17" s="3">
        <f t="shared" si="2"/>
        <v>2.415024233</v>
      </c>
      <c r="K17" s="3">
        <f t="shared" si="3"/>
        <v>0.1586874664</v>
      </c>
    </row>
    <row r="18">
      <c r="A18" s="2">
        <v>17.0</v>
      </c>
      <c r="B18" s="3">
        <v>8.358</v>
      </c>
      <c r="C18" s="3">
        <v>1.903</v>
      </c>
      <c r="D18" s="3">
        <v>2.679</v>
      </c>
      <c r="E18" s="3">
        <v>1.267</v>
      </c>
      <c r="F18" s="3">
        <v>0.281</v>
      </c>
      <c r="G18" s="3">
        <v>1.157</v>
      </c>
      <c r="H18" s="3">
        <v>0.433</v>
      </c>
      <c r="I18" s="3">
        <f t="shared" si="1"/>
        <v>4.582</v>
      </c>
      <c r="J18" s="3">
        <f t="shared" si="2"/>
        <v>1.824094282</v>
      </c>
      <c r="K18" s="3">
        <f t="shared" si="3"/>
        <v>0.2428694901</v>
      </c>
    </row>
    <row r="19">
      <c r="A19" s="2">
        <v>18.0</v>
      </c>
      <c r="B19" s="3">
        <v>11.198</v>
      </c>
      <c r="C19" s="3">
        <v>2.521</v>
      </c>
      <c r="D19" s="3">
        <v>2.834</v>
      </c>
      <c r="E19" s="3">
        <v>1.89</v>
      </c>
      <c r="F19" s="3">
        <v>0.177</v>
      </c>
      <c r="G19" s="3">
        <v>1.535</v>
      </c>
      <c r="H19" s="3">
        <v>0.714</v>
      </c>
      <c r="I19" s="3">
        <f t="shared" si="1"/>
        <v>5.355</v>
      </c>
      <c r="J19" s="3">
        <f t="shared" si="2"/>
        <v>2.091129785</v>
      </c>
      <c r="K19" s="3">
        <f t="shared" si="3"/>
        <v>0.1153094463</v>
      </c>
    </row>
    <row r="20">
      <c r="A20" s="2">
        <v>19.0</v>
      </c>
      <c r="B20" s="3">
        <v>9.36</v>
      </c>
      <c r="C20" s="3">
        <v>2.28</v>
      </c>
      <c r="D20" s="3">
        <v>2.31</v>
      </c>
      <c r="E20" s="3">
        <v>1.488</v>
      </c>
      <c r="F20" s="3">
        <v>0.196</v>
      </c>
      <c r="G20" s="3">
        <v>1.267</v>
      </c>
      <c r="H20" s="3">
        <v>0.39</v>
      </c>
      <c r="I20" s="3">
        <f t="shared" si="1"/>
        <v>4.59</v>
      </c>
      <c r="J20" s="3">
        <f t="shared" si="2"/>
        <v>2.039215686</v>
      </c>
      <c r="K20" s="3">
        <f t="shared" si="3"/>
        <v>0.1546961326</v>
      </c>
    </row>
    <row r="21" ht="15.75" customHeight="1">
      <c r="A21" s="2">
        <v>20.0</v>
      </c>
      <c r="B21" s="3">
        <v>7.273</v>
      </c>
      <c r="C21" s="3">
        <v>2.929</v>
      </c>
      <c r="D21" s="3">
        <v>3.259</v>
      </c>
      <c r="E21" s="3">
        <v>1.27</v>
      </c>
      <c r="F21" s="3">
        <v>0.252</v>
      </c>
      <c r="G21" s="3">
        <v>1.386</v>
      </c>
      <c r="H21" s="3">
        <v>0.626</v>
      </c>
      <c r="I21" s="3">
        <f t="shared" si="1"/>
        <v>6.188</v>
      </c>
      <c r="J21" s="3">
        <f t="shared" si="2"/>
        <v>1.175339367</v>
      </c>
      <c r="K21" s="3">
        <f t="shared" si="3"/>
        <v>0.1818181818</v>
      </c>
    </row>
    <row r="22" ht="15.75" customHeight="1">
      <c r="A22" s="2">
        <v>21.0</v>
      </c>
      <c r="B22" s="3">
        <v>11.528</v>
      </c>
      <c r="C22" s="3">
        <v>2.154</v>
      </c>
      <c r="D22" s="3">
        <v>2.515</v>
      </c>
      <c r="E22" s="3">
        <v>1.861</v>
      </c>
      <c r="F22" s="3">
        <v>0.233</v>
      </c>
      <c r="G22" s="3">
        <v>1.219</v>
      </c>
      <c r="H22" s="3">
        <v>0.665</v>
      </c>
      <c r="I22" s="3">
        <f t="shared" si="1"/>
        <v>4.669</v>
      </c>
      <c r="J22" s="3">
        <f t="shared" si="2"/>
        <v>2.469051189</v>
      </c>
      <c r="K22" s="3">
        <f t="shared" si="3"/>
        <v>0.1911402789</v>
      </c>
    </row>
    <row r="23" ht="15.75" customHeight="1">
      <c r="A23" s="2">
        <v>22.0</v>
      </c>
      <c r="B23" s="3">
        <v>7.475</v>
      </c>
      <c r="C23" s="3">
        <v>1.988</v>
      </c>
      <c r="D23" s="3">
        <v>2.11</v>
      </c>
      <c r="E23" s="3">
        <v>1.445</v>
      </c>
      <c r="F23" s="3">
        <v>0.246</v>
      </c>
      <c r="G23" s="3">
        <v>1.254</v>
      </c>
      <c r="H23" s="3">
        <v>0.552</v>
      </c>
      <c r="I23" s="3">
        <f t="shared" si="1"/>
        <v>4.098</v>
      </c>
      <c r="J23" s="3">
        <f t="shared" si="2"/>
        <v>1.824060517</v>
      </c>
      <c r="K23" s="3">
        <f t="shared" si="3"/>
        <v>0.1961722488</v>
      </c>
    </row>
    <row r="24" ht="15.75" customHeight="1">
      <c r="A24" s="2">
        <v>23.0</v>
      </c>
      <c r="B24" s="3">
        <v>9.612</v>
      </c>
      <c r="C24" s="3">
        <v>2.21</v>
      </c>
      <c r="D24" s="3">
        <v>2.551</v>
      </c>
      <c r="E24" s="3">
        <v>1.81</v>
      </c>
      <c r="F24" s="3">
        <v>0.272</v>
      </c>
      <c r="G24" s="3">
        <v>1.513</v>
      </c>
      <c r="H24" s="3">
        <v>0.62</v>
      </c>
      <c r="I24" s="3">
        <f t="shared" si="1"/>
        <v>4.761</v>
      </c>
      <c r="J24" s="3">
        <f t="shared" si="2"/>
        <v>2.018903592</v>
      </c>
      <c r="K24" s="3">
        <f t="shared" si="3"/>
        <v>0.1797752809</v>
      </c>
    </row>
    <row r="25" ht="15.75" customHeight="1">
      <c r="A25" s="2">
        <v>24.0</v>
      </c>
      <c r="B25" s="3">
        <v>9.779</v>
      </c>
      <c r="C25" s="3">
        <v>1.888</v>
      </c>
      <c r="D25" s="3">
        <v>2.872</v>
      </c>
      <c r="E25" s="3">
        <v>1.788</v>
      </c>
      <c r="F25" s="3">
        <v>0.272</v>
      </c>
      <c r="G25" s="3">
        <v>1.515</v>
      </c>
      <c r="H25" s="3">
        <v>0.463</v>
      </c>
      <c r="I25" s="3">
        <f t="shared" si="1"/>
        <v>4.76</v>
      </c>
      <c r="J25" s="3">
        <f t="shared" si="2"/>
        <v>2.054411765</v>
      </c>
      <c r="K25" s="3">
        <f t="shared" si="3"/>
        <v>0.1795379538</v>
      </c>
    </row>
    <row r="26" ht="15.75" customHeight="1">
      <c r="A26" s="2">
        <v>25.0</v>
      </c>
      <c r="B26" s="3">
        <v>10.02</v>
      </c>
      <c r="C26" s="3">
        <v>2.546</v>
      </c>
      <c r="D26" s="3">
        <v>2.508</v>
      </c>
      <c r="E26" s="3">
        <v>1.712</v>
      </c>
      <c r="F26" s="3">
        <v>0.497</v>
      </c>
      <c r="G26" s="3">
        <v>1.647</v>
      </c>
      <c r="H26" s="3">
        <v>1.021</v>
      </c>
      <c r="I26" s="3">
        <f t="shared" si="1"/>
        <v>5.054</v>
      </c>
      <c r="J26" s="3">
        <f t="shared" si="2"/>
        <v>1.982588049</v>
      </c>
      <c r="K26" s="3">
        <f t="shared" si="3"/>
        <v>0.3017607772</v>
      </c>
    </row>
    <row r="27" ht="15.75" customHeight="1">
      <c r="A27" s="2">
        <v>26.0</v>
      </c>
      <c r="B27" s="4">
        <v>8.877</v>
      </c>
      <c r="C27" s="4">
        <v>2.261</v>
      </c>
      <c r="D27" s="4">
        <v>2.406</v>
      </c>
      <c r="E27" s="4">
        <v>1.572</v>
      </c>
      <c r="F27" s="4">
        <v>0.382</v>
      </c>
      <c r="G27" s="4">
        <v>1.244</v>
      </c>
      <c r="H27" s="4">
        <v>0.552</v>
      </c>
      <c r="I27" s="3">
        <f t="shared" si="1"/>
        <v>4.667</v>
      </c>
      <c r="J27" s="3">
        <f t="shared" si="2"/>
        <v>1.902078423</v>
      </c>
      <c r="K27" s="3">
        <f t="shared" si="3"/>
        <v>0.307073955</v>
      </c>
    </row>
    <row r="28" ht="15.75" customHeight="1">
      <c r="A28" s="2">
        <v>27.0</v>
      </c>
      <c r="B28" s="4">
        <v>12.053</v>
      </c>
      <c r="C28" s="4">
        <v>2.356</v>
      </c>
      <c r="D28" s="4">
        <v>2.779</v>
      </c>
      <c r="E28" s="4">
        <v>1.507</v>
      </c>
      <c r="F28" s="4">
        <v>0.388</v>
      </c>
      <c r="G28" s="4">
        <v>1.54</v>
      </c>
      <c r="H28" s="4">
        <v>0.698</v>
      </c>
      <c r="I28" s="3">
        <f t="shared" si="1"/>
        <v>5.135</v>
      </c>
      <c r="J28" s="3">
        <f t="shared" si="2"/>
        <v>2.347224927</v>
      </c>
      <c r="K28" s="3">
        <f t="shared" si="3"/>
        <v>0.2519480519</v>
      </c>
    </row>
    <row r="29" ht="15.75" customHeight="1">
      <c r="A29" s="2">
        <v>28.0</v>
      </c>
      <c r="B29" s="4">
        <v>9.494</v>
      </c>
      <c r="C29" s="4">
        <v>2.368</v>
      </c>
      <c r="D29" s="4">
        <v>2.654</v>
      </c>
      <c r="E29" s="4">
        <v>2.025</v>
      </c>
      <c r="F29" s="4">
        <v>0.332</v>
      </c>
      <c r="G29" s="4">
        <v>1.406</v>
      </c>
      <c r="H29" s="4">
        <v>0.652</v>
      </c>
      <c r="I29" s="3">
        <f t="shared" si="1"/>
        <v>5.022</v>
      </c>
      <c r="J29" s="3">
        <f t="shared" si="2"/>
        <v>1.89048188</v>
      </c>
      <c r="K29" s="3">
        <f t="shared" si="3"/>
        <v>0.2361308677</v>
      </c>
    </row>
    <row r="30" ht="15.75" customHeight="1">
      <c r="A30" s="2">
        <v>29.0</v>
      </c>
      <c r="B30" s="4">
        <v>10.497</v>
      </c>
      <c r="C30" s="4">
        <v>2.132</v>
      </c>
      <c r="D30" s="4">
        <v>3.262</v>
      </c>
      <c r="E30" s="4">
        <v>2.069</v>
      </c>
      <c r="F30" s="4">
        <v>0.32</v>
      </c>
      <c r="G30" s="4">
        <v>1.549</v>
      </c>
      <c r="H30" s="4">
        <v>0.732</v>
      </c>
      <c r="I30" s="3">
        <f t="shared" si="1"/>
        <v>5.394</v>
      </c>
      <c r="J30" s="3">
        <f t="shared" si="2"/>
        <v>1.946051168</v>
      </c>
      <c r="K30" s="3">
        <f t="shared" si="3"/>
        <v>0.2065848935</v>
      </c>
    </row>
    <row r="31" ht="15.75" customHeight="1">
      <c r="A31" s="2">
        <v>30.0</v>
      </c>
      <c r="B31" s="4">
        <v>9.432</v>
      </c>
      <c r="C31" s="4">
        <v>2.282</v>
      </c>
      <c r="D31" s="4">
        <v>2.529</v>
      </c>
      <c r="E31" s="4">
        <v>1.857</v>
      </c>
      <c r="F31" s="4">
        <v>0.317</v>
      </c>
      <c r="G31" s="4">
        <v>1.431</v>
      </c>
      <c r="H31" s="4">
        <v>0.591</v>
      </c>
      <c r="I31" s="3">
        <f t="shared" si="1"/>
        <v>4.811</v>
      </c>
      <c r="J31" s="3">
        <f t="shared" si="2"/>
        <v>1.960507171</v>
      </c>
      <c r="K31" s="3">
        <f t="shared" si="3"/>
        <v>0.2215234102</v>
      </c>
    </row>
    <row r="32" ht="15.75" customHeight="1">
      <c r="A32" s="2">
        <v>31.0</v>
      </c>
      <c r="B32" s="4">
        <v>11.805</v>
      </c>
      <c r="C32" s="4">
        <v>2.576</v>
      </c>
      <c r="D32" s="4">
        <v>2.684</v>
      </c>
      <c r="E32" s="4">
        <v>2.036</v>
      </c>
      <c r="F32" s="4">
        <v>0.361</v>
      </c>
      <c r="G32" s="4">
        <v>1.756</v>
      </c>
      <c r="H32" s="4">
        <v>0.63</v>
      </c>
      <c r="I32" s="3">
        <f t="shared" si="1"/>
        <v>5.26</v>
      </c>
      <c r="J32" s="3">
        <f t="shared" si="2"/>
        <v>2.244296578</v>
      </c>
      <c r="K32" s="3">
        <f t="shared" si="3"/>
        <v>0.2055808656</v>
      </c>
    </row>
    <row r="33" ht="15.75" customHeight="1">
      <c r="A33" s="2">
        <v>32.0</v>
      </c>
      <c r="B33" s="4">
        <v>10.26</v>
      </c>
      <c r="C33" s="4">
        <v>2.251</v>
      </c>
      <c r="D33" s="4">
        <v>2.769</v>
      </c>
      <c r="E33" s="4">
        <v>1.574</v>
      </c>
      <c r="F33" s="4">
        <v>0.355</v>
      </c>
      <c r="G33" s="4">
        <v>1.502</v>
      </c>
      <c r="H33" s="4">
        <v>0.61</v>
      </c>
      <c r="I33" s="3">
        <f t="shared" si="1"/>
        <v>5.02</v>
      </c>
      <c r="J33" s="3">
        <f t="shared" si="2"/>
        <v>2.043824701</v>
      </c>
      <c r="K33" s="3">
        <f t="shared" si="3"/>
        <v>0.2363515313</v>
      </c>
    </row>
    <row r="34" ht="15.75" customHeight="1">
      <c r="A34" s="2">
        <v>33.0</v>
      </c>
      <c r="B34" s="4">
        <v>11.166</v>
      </c>
      <c r="C34" s="4">
        <v>2.475</v>
      </c>
      <c r="D34" s="4">
        <v>2.303</v>
      </c>
      <c r="E34" s="4">
        <v>1.898</v>
      </c>
      <c r="F34" s="4">
        <v>0.218</v>
      </c>
      <c r="G34" s="4">
        <v>1.379</v>
      </c>
      <c r="H34" s="4">
        <v>0.566</v>
      </c>
      <c r="I34" s="3">
        <f t="shared" si="1"/>
        <v>4.778</v>
      </c>
      <c r="J34" s="3">
        <f t="shared" si="2"/>
        <v>2.336961072</v>
      </c>
      <c r="K34" s="3">
        <f t="shared" si="3"/>
        <v>0.1580855693</v>
      </c>
    </row>
    <row r="35" ht="15.75" customHeight="1">
      <c r="A35" s="2">
        <v>34.0</v>
      </c>
      <c r="B35" s="4">
        <v>10.943</v>
      </c>
      <c r="C35" s="4">
        <v>2.541</v>
      </c>
      <c r="D35" s="4">
        <v>2.903</v>
      </c>
      <c r="E35" s="4">
        <v>1.659</v>
      </c>
      <c r="F35" s="4">
        <v>0.4</v>
      </c>
      <c r="G35" s="4">
        <v>1.853</v>
      </c>
      <c r="H35" s="4">
        <v>0.458</v>
      </c>
      <c r="I35" s="3">
        <f t="shared" si="1"/>
        <v>5.444</v>
      </c>
      <c r="J35" s="3">
        <f t="shared" si="2"/>
        <v>2.010102866</v>
      </c>
      <c r="K35" s="3">
        <f t="shared" si="3"/>
        <v>0.215866163</v>
      </c>
    </row>
    <row r="36" ht="15.75" customHeight="1">
      <c r="A36" s="2">
        <v>36.0</v>
      </c>
      <c r="B36" s="4">
        <v>11.322</v>
      </c>
      <c r="C36" s="4">
        <v>2.12</v>
      </c>
      <c r="D36" s="4">
        <v>2.922</v>
      </c>
      <c r="E36" s="4">
        <v>2.267</v>
      </c>
      <c r="F36" s="4">
        <v>0.226</v>
      </c>
      <c r="G36" s="4">
        <v>1.535</v>
      </c>
      <c r="H36" s="4">
        <v>0.584</v>
      </c>
      <c r="I36" s="3">
        <f t="shared" si="1"/>
        <v>5.042</v>
      </c>
      <c r="J36" s="3">
        <f t="shared" si="2"/>
        <v>2.245537485</v>
      </c>
      <c r="K36" s="3">
        <f t="shared" si="3"/>
        <v>0.1472312704</v>
      </c>
    </row>
    <row r="37" ht="15.75" customHeight="1">
      <c r="A37" s="2" t="s">
        <v>11</v>
      </c>
      <c r="B37" s="3">
        <f t="shared" ref="B37:K37" si="4">AVERAGE(B2:B36)</f>
        <v>11.45437143</v>
      </c>
      <c r="C37" s="3">
        <f t="shared" si="4"/>
        <v>2.414885714</v>
      </c>
      <c r="D37" s="3">
        <f t="shared" si="4"/>
        <v>2.859374286</v>
      </c>
      <c r="E37" s="3">
        <f t="shared" si="4"/>
        <v>1.902285714</v>
      </c>
      <c r="F37" s="3">
        <f t="shared" si="4"/>
        <v>0.3135142857</v>
      </c>
      <c r="G37" s="3">
        <f t="shared" si="4"/>
        <v>1.584857143</v>
      </c>
      <c r="H37" s="3">
        <f t="shared" si="4"/>
        <v>0.6750571429</v>
      </c>
      <c r="I37" s="3">
        <f t="shared" si="4"/>
        <v>5.27426</v>
      </c>
      <c r="J37" s="3">
        <f t="shared" si="4"/>
        <v>2.159622661</v>
      </c>
      <c r="K37" s="3">
        <f t="shared" si="4"/>
        <v>0.198670708</v>
      </c>
    </row>
    <row r="38" ht="15.75" customHeight="1">
      <c r="A38" s="2" t="s">
        <v>12</v>
      </c>
      <c r="B38" s="3">
        <f t="shared" ref="B38:K38" si="5">STDEV(B2:B36)</f>
        <v>2.476293377</v>
      </c>
      <c r="C38" s="3">
        <f t="shared" si="5"/>
        <v>0.27831127</v>
      </c>
      <c r="D38" s="3">
        <f t="shared" si="5"/>
        <v>0.3398275041</v>
      </c>
      <c r="E38" s="3">
        <f t="shared" si="5"/>
        <v>0.3105382018</v>
      </c>
      <c r="F38" s="3">
        <f t="shared" si="5"/>
        <v>0.07777583604</v>
      </c>
      <c r="G38" s="3">
        <f t="shared" si="5"/>
        <v>0.2202317153</v>
      </c>
      <c r="H38" s="3">
        <f t="shared" si="5"/>
        <v>0.1605177181</v>
      </c>
      <c r="I38" s="3">
        <f t="shared" si="5"/>
        <v>0.541685117</v>
      </c>
      <c r="J38" s="3">
        <f t="shared" si="5"/>
        <v>0.3142836409</v>
      </c>
      <c r="K38" s="3">
        <f t="shared" si="5"/>
        <v>0.04443724257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26.721</v>
      </c>
      <c r="C2" s="2">
        <v>3.4</v>
      </c>
      <c r="D2" s="2">
        <v>4.3</v>
      </c>
      <c r="E2" s="2">
        <v>2.433</v>
      </c>
      <c r="F2" s="2">
        <v>0.384</v>
      </c>
      <c r="G2" s="2">
        <v>1.956</v>
      </c>
      <c r="H2" s="2">
        <v>1.25</v>
      </c>
      <c r="I2" s="3">
        <f>C2+D2</f>
        <v>7.7</v>
      </c>
      <c r="J2" s="3">
        <f>B2/I2</f>
        <v>3.47025974</v>
      </c>
      <c r="K2" s="3">
        <f>F2/G2</f>
        <v>0.1963190184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23.411</v>
      </c>
      <c r="C2" s="3">
        <v>3.327</v>
      </c>
      <c r="D2" s="3">
        <v>4.054</v>
      </c>
      <c r="E2" s="3">
        <v>2.984</v>
      </c>
      <c r="F2" s="3">
        <v>0.431</v>
      </c>
      <c r="G2" s="3">
        <v>2.463</v>
      </c>
      <c r="H2" s="3">
        <v>1.075</v>
      </c>
      <c r="I2" s="3">
        <f t="shared" ref="I2:I31" si="1">C2+D2</f>
        <v>7.381</v>
      </c>
      <c r="J2" s="3">
        <f t="shared" ref="J2:J31" si="2">B2/I2</f>
        <v>3.17179244</v>
      </c>
      <c r="K2" s="3">
        <f t="shared" ref="K2:K31" si="3">F2/G2</f>
        <v>0.1749898498</v>
      </c>
    </row>
    <row r="3">
      <c r="A3" s="2">
        <v>2.0</v>
      </c>
      <c r="B3" s="3">
        <v>28.549</v>
      </c>
      <c r="C3" s="3">
        <v>3.837</v>
      </c>
      <c r="D3" s="3">
        <v>4.231</v>
      </c>
      <c r="E3" s="3">
        <v>3.072</v>
      </c>
      <c r="F3" s="3">
        <v>0.327</v>
      </c>
      <c r="G3" s="3">
        <v>2.5019</v>
      </c>
      <c r="H3" s="3">
        <v>1.607</v>
      </c>
      <c r="I3" s="3">
        <f t="shared" si="1"/>
        <v>8.068</v>
      </c>
      <c r="J3" s="3">
        <f t="shared" si="2"/>
        <v>3.538547348</v>
      </c>
      <c r="K3" s="3">
        <f t="shared" si="3"/>
        <v>0.1307006675</v>
      </c>
    </row>
    <row r="4">
      <c r="A4" s="2">
        <v>3.0</v>
      </c>
      <c r="B4" s="3">
        <v>29.717</v>
      </c>
      <c r="C4" s="3">
        <v>3.586</v>
      </c>
      <c r="D4" s="3">
        <v>4.195</v>
      </c>
      <c r="E4" s="3">
        <v>2.867</v>
      </c>
      <c r="F4" s="3">
        <v>0.428</v>
      </c>
      <c r="G4" s="3">
        <v>2.867</v>
      </c>
      <c r="H4" s="3">
        <v>1.347</v>
      </c>
      <c r="I4" s="3">
        <f t="shared" si="1"/>
        <v>7.781</v>
      </c>
      <c r="J4" s="3">
        <f t="shared" si="2"/>
        <v>3.819174913</v>
      </c>
      <c r="K4" s="3">
        <f t="shared" si="3"/>
        <v>0.1492849669</v>
      </c>
    </row>
    <row r="5">
      <c r="A5" s="2">
        <v>4.0</v>
      </c>
      <c r="B5" s="3">
        <v>33.92</v>
      </c>
      <c r="C5" s="3">
        <v>3.284</v>
      </c>
      <c r="D5" s="3">
        <v>4.267</v>
      </c>
      <c r="E5" s="3">
        <v>3.532</v>
      </c>
      <c r="F5" s="3">
        <v>0.434</v>
      </c>
      <c r="G5" s="3">
        <v>2.984</v>
      </c>
      <c r="H5" s="3">
        <v>1.594</v>
      </c>
      <c r="I5" s="3">
        <f t="shared" si="1"/>
        <v>7.551</v>
      </c>
      <c r="J5" s="3">
        <f t="shared" si="2"/>
        <v>4.492120249</v>
      </c>
      <c r="K5" s="3">
        <f t="shared" si="3"/>
        <v>0.1454423592</v>
      </c>
    </row>
    <row r="6">
      <c r="A6" s="2">
        <v>5.0</v>
      </c>
      <c r="B6" s="3">
        <v>38.777</v>
      </c>
      <c r="C6" s="3">
        <v>3.704</v>
      </c>
      <c r="D6" s="3">
        <v>4.54</v>
      </c>
      <c r="E6" s="3">
        <v>3.196</v>
      </c>
      <c r="F6" s="3">
        <v>0.493</v>
      </c>
      <c r="G6" s="3">
        <v>2.65</v>
      </c>
      <c r="H6" s="3">
        <v>1.185</v>
      </c>
      <c r="I6" s="3">
        <f t="shared" si="1"/>
        <v>8.244</v>
      </c>
      <c r="J6" s="3">
        <f t="shared" si="2"/>
        <v>4.70366327</v>
      </c>
      <c r="K6" s="3">
        <f t="shared" si="3"/>
        <v>0.1860377358</v>
      </c>
    </row>
    <row r="7">
      <c r="A7" s="2">
        <v>6.0</v>
      </c>
      <c r="B7" s="3">
        <v>29.734</v>
      </c>
      <c r="C7" s="3">
        <v>3.871</v>
      </c>
      <c r="D7" s="3">
        <v>4.599</v>
      </c>
      <c r="E7" s="3">
        <v>2.869</v>
      </c>
      <c r="F7" s="3">
        <v>0.427</v>
      </c>
      <c r="G7" s="3">
        <v>2.522</v>
      </c>
      <c r="H7" s="3">
        <v>1.712</v>
      </c>
      <c r="I7" s="3">
        <f t="shared" si="1"/>
        <v>8.47</v>
      </c>
      <c r="J7" s="3">
        <f t="shared" si="2"/>
        <v>3.510507674</v>
      </c>
      <c r="K7" s="3">
        <f t="shared" si="3"/>
        <v>0.1693100714</v>
      </c>
    </row>
    <row r="8">
      <c r="A8" s="2">
        <v>7.0</v>
      </c>
      <c r="B8" s="3">
        <v>34.7</v>
      </c>
      <c r="C8" s="3">
        <v>4.078</v>
      </c>
      <c r="D8" s="3">
        <v>4.576</v>
      </c>
      <c r="E8" s="3">
        <v>3.069</v>
      </c>
      <c r="F8" s="3">
        <v>0.45</v>
      </c>
      <c r="G8" s="3">
        <v>2.847</v>
      </c>
      <c r="H8" s="3">
        <v>1.734</v>
      </c>
      <c r="I8" s="3">
        <f t="shared" si="1"/>
        <v>8.654</v>
      </c>
      <c r="J8" s="3">
        <f t="shared" si="2"/>
        <v>4.009706494</v>
      </c>
      <c r="K8" s="3">
        <f t="shared" si="3"/>
        <v>0.158061117</v>
      </c>
    </row>
    <row r="9">
      <c r="A9" s="2">
        <v>8.0</v>
      </c>
      <c r="B9" s="3">
        <v>27.688</v>
      </c>
      <c r="C9" s="3">
        <v>3.725</v>
      </c>
      <c r="D9" s="3">
        <v>4.203</v>
      </c>
      <c r="E9" s="3">
        <v>2.649</v>
      </c>
      <c r="F9" s="3">
        <v>0.499</v>
      </c>
      <c r="G9" s="3">
        <v>2.132</v>
      </c>
      <c r="H9" s="3">
        <v>1.713</v>
      </c>
      <c r="I9" s="3">
        <f t="shared" si="1"/>
        <v>7.928</v>
      </c>
      <c r="J9" s="3">
        <f t="shared" si="2"/>
        <v>3.492431887</v>
      </c>
      <c r="K9" s="3">
        <f t="shared" si="3"/>
        <v>0.2340525328</v>
      </c>
    </row>
    <row r="10">
      <c r="A10" s="2">
        <v>9.0</v>
      </c>
      <c r="B10" s="3">
        <v>25.534</v>
      </c>
      <c r="C10" s="3">
        <v>3.502</v>
      </c>
      <c r="D10" s="3">
        <v>4.197</v>
      </c>
      <c r="E10" s="3">
        <v>2.787</v>
      </c>
      <c r="F10" s="3">
        <v>0.397</v>
      </c>
      <c r="G10" s="3">
        <v>2.521</v>
      </c>
      <c r="H10" s="3">
        <v>1.212</v>
      </c>
      <c r="I10" s="3">
        <f t="shared" si="1"/>
        <v>7.699</v>
      </c>
      <c r="J10" s="3">
        <f t="shared" si="2"/>
        <v>3.316534615</v>
      </c>
      <c r="K10" s="3">
        <f t="shared" si="3"/>
        <v>0.1574771916</v>
      </c>
    </row>
    <row r="11">
      <c r="A11" s="2">
        <v>10.0</v>
      </c>
      <c r="B11" s="4">
        <v>28.783</v>
      </c>
      <c r="C11" s="4">
        <v>3.784</v>
      </c>
      <c r="D11" s="4">
        <v>4.739</v>
      </c>
      <c r="E11" s="4">
        <v>3.203</v>
      </c>
      <c r="F11" s="4">
        <v>0.467</v>
      </c>
      <c r="G11" s="4">
        <v>2.245</v>
      </c>
      <c r="H11" s="4">
        <v>1.693</v>
      </c>
      <c r="I11" s="3">
        <f t="shared" si="1"/>
        <v>8.523</v>
      </c>
      <c r="J11" s="3">
        <f t="shared" si="2"/>
        <v>3.377097266</v>
      </c>
      <c r="K11" s="3">
        <f t="shared" si="3"/>
        <v>0.2080178174</v>
      </c>
    </row>
    <row r="12">
      <c r="A12" s="2">
        <v>11.0</v>
      </c>
      <c r="B12" s="4">
        <v>34.275</v>
      </c>
      <c r="C12" s="4">
        <v>3.311</v>
      </c>
      <c r="D12" s="4">
        <v>4.697</v>
      </c>
      <c r="E12" s="4">
        <v>2.888</v>
      </c>
      <c r="F12" s="4">
        <v>0.6</v>
      </c>
      <c r="G12" s="4">
        <v>2.715</v>
      </c>
      <c r="H12" s="4">
        <v>2.009</v>
      </c>
      <c r="I12" s="3">
        <f t="shared" si="1"/>
        <v>8.008</v>
      </c>
      <c r="J12" s="3">
        <f t="shared" si="2"/>
        <v>4.280094905</v>
      </c>
      <c r="K12" s="3">
        <f t="shared" si="3"/>
        <v>0.2209944751</v>
      </c>
    </row>
    <row r="13">
      <c r="A13" s="2">
        <v>12.0</v>
      </c>
      <c r="B13" s="4">
        <v>29.139</v>
      </c>
      <c r="C13" s="4">
        <v>3.287</v>
      </c>
      <c r="D13" s="4">
        <v>4.231</v>
      </c>
      <c r="E13" s="4">
        <v>2.955</v>
      </c>
      <c r="F13" s="4">
        <v>0.445</v>
      </c>
      <c r="G13" s="4">
        <v>2.634</v>
      </c>
      <c r="H13" s="4">
        <v>1.434</v>
      </c>
      <c r="I13" s="3">
        <f t="shared" si="1"/>
        <v>7.518</v>
      </c>
      <c r="J13" s="3">
        <f t="shared" si="2"/>
        <v>3.875897845</v>
      </c>
      <c r="K13" s="3">
        <f t="shared" si="3"/>
        <v>0.168944571</v>
      </c>
    </row>
    <row r="14">
      <c r="A14" s="2">
        <v>13.0</v>
      </c>
      <c r="B14" s="4">
        <v>36.753</v>
      </c>
      <c r="C14" s="4">
        <v>3.662</v>
      </c>
      <c r="D14" s="4">
        <v>5.035</v>
      </c>
      <c r="E14" s="4">
        <v>3.103</v>
      </c>
      <c r="F14" s="4">
        <v>0.536</v>
      </c>
      <c r="G14" s="4">
        <v>2.795</v>
      </c>
      <c r="H14" s="4">
        <v>2.014</v>
      </c>
      <c r="I14" s="3">
        <f t="shared" si="1"/>
        <v>8.697</v>
      </c>
      <c r="J14" s="3">
        <f t="shared" si="2"/>
        <v>4.225939979</v>
      </c>
      <c r="K14" s="3">
        <f t="shared" si="3"/>
        <v>0.1917710197</v>
      </c>
    </row>
    <row r="15">
      <c r="A15" s="2">
        <v>14.0</v>
      </c>
      <c r="B15" s="4">
        <v>28.006</v>
      </c>
      <c r="C15" s="4">
        <v>3.175</v>
      </c>
      <c r="D15" s="4">
        <v>4.163</v>
      </c>
      <c r="E15" s="4">
        <v>3.482</v>
      </c>
      <c r="F15" s="4">
        <v>0.552</v>
      </c>
      <c r="G15" s="4">
        <v>2.561</v>
      </c>
      <c r="H15" s="4">
        <v>1.629</v>
      </c>
      <c r="I15" s="3">
        <f t="shared" si="1"/>
        <v>7.338</v>
      </c>
      <c r="J15" s="3">
        <f t="shared" si="2"/>
        <v>3.816571273</v>
      </c>
      <c r="K15" s="3">
        <f t="shared" si="3"/>
        <v>0.2155408044</v>
      </c>
    </row>
    <row r="16">
      <c r="A16" s="2">
        <v>15.0</v>
      </c>
      <c r="B16" s="4">
        <v>33.38</v>
      </c>
      <c r="C16" s="4">
        <v>3.919</v>
      </c>
      <c r="D16" s="4">
        <v>4.744</v>
      </c>
      <c r="E16" s="4">
        <v>3.231</v>
      </c>
      <c r="F16" s="4">
        <v>0.478</v>
      </c>
      <c r="G16" s="4">
        <v>2.87</v>
      </c>
      <c r="H16" s="4">
        <v>2.048</v>
      </c>
      <c r="I16" s="3">
        <f t="shared" si="1"/>
        <v>8.663</v>
      </c>
      <c r="J16" s="3">
        <f t="shared" si="2"/>
        <v>3.853168648</v>
      </c>
      <c r="K16" s="3">
        <f t="shared" si="3"/>
        <v>0.1665505226</v>
      </c>
    </row>
    <row r="17">
      <c r="A17" s="2">
        <v>16.0</v>
      </c>
      <c r="B17" s="4">
        <v>35.216</v>
      </c>
      <c r="C17" s="4">
        <v>3.501</v>
      </c>
      <c r="D17" s="4">
        <v>4.685</v>
      </c>
      <c r="E17" s="4">
        <v>3.239</v>
      </c>
      <c r="F17" s="4">
        <v>0.62</v>
      </c>
      <c r="G17" s="4">
        <v>2.921</v>
      </c>
      <c r="H17" s="4">
        <v>2.334</v>
      </c>
      <c r="I17" s="3">
        <f t="shared" si="1"/>
        <v>8.186</v>
      </c>
      <c r="J17" s="3">
        <f t="shared" si="2"/>
        <v>4.301978989</v>
      </c>
      <c r="K17" s="3">
        <f t="shared" si="3"/>
        <v>0.2122560767</v>
      </c>
    </row>
    <row r="18">
      <c r="A18" s="2">
        <v>17.0</v>
      </c>
      <c r="B18" s="4">
        <v>25.143</v>
      </c>
      <c r="C18" s="4">
        <v>3.335</v>
      </c>
      <c r="D18" s="4">
        <v>3.672</v>
      </c>
      <c r="E18" s="4">
        <v>2.445</v>
      </c>
      <c r="F18" s="4">
        <v>0.419</v>
      </c>
      <c r="G18" s="4">
        <v>2.41</v>
      </c>
      <c r="H18" s="4">
        <v>1.394</v>
      </c>
      <c r="I18" s="3">
        <f t="shared" si="1"/>
        <v>7.007</v>
      </c>
      <c r="J18" s="3">
        <f t="shared" si="2"/>
        <v>3.588268874</v>
      </c>
      <c r="K18" s="3">
        <f t="shared" si="3"/>
        <v>0.1738589212</v>
      </c>
    </row>
    <row r="19">
      <c r="A19" s="2">
        <v>18.0</v>
      </c>
      <c r="B19" s="4">
        <v>35.062</v>
      </c>
      <c r="C19" s="4">
        <v>3.474</v>
      </c>
      <c r="D19" s="4">
        <v>4.899</v>
      </c>
      <c r="E19" s="4">
        <v>3.064</v>
      </c>
      <c r="F19" s="4">
        <v>0.552</v>
      </c>
      <c r="G19" s="4">
        <v>2.74</v>
      </c>
      <c r="H19" s="4">
        <v>2.172</v>
      </c>
      <c r="I19" s="3">
        <f t="shared" si="1"/>
        <v>8.373</v>
      </c>
      <c r="J19" s="3">
        <f t="shared" si="2"/>
        <v>4.187507464</v>
      </c>
      <c r="K19" s="3">
        <f t="shared" si="3"/>
        <v>0.201459854</v>
      </c>
    </row>
    <row r="20">
      <c r="A20" s="2">
        <v>19.0</v>
      </c>
      <c r="B20" s="4">
        <v>36.381</v>
      </c>
      <c r="C20" s="4">
        <v>4.088</v>
      </c>
      <c r="D20" s="4">
        <v>5.242</v>
      </c>
      <c r="E20" s="4">
        <v>3.556</v>
      </c>
      <c r="F20" s="4">
        <v>0.626</v>
      </c>
      <c r="G20" s="4">
        <v>2.958</v>
      </c>
      <c r="H20" s="4">
        <v>2.088</v>
      </c>
      <c r="I20" s="3">
        <f t="shared" si="1"/>
        <v>9.33</v>
      </c>
      <c r="J20" s="3">
        <f t="shared" si="2"/>
        <v>3.899356913</v>
      </c>
      <c r="K20" s="3">
        <f t="shared" si="3"/>
        <v>0.2116294794</v>
      </c>
    </row>
    <row r="21" ht="15.75" customHeight="1">
      <c r="A21" s="2">
        <v>20.0</v>
      </c>
      <c r="B21" s="4">
        <v>37.47</v>
      </c>
      <c r="C21" s="4">
        <v>4.176</v>
      </c>
      <c r="D21" s="4">
        <v>4.954</v>
      </c>
      <c r="E21" s="4">
        <v>3.364</v>
      </c>
      <c r="F21" s="4">
        <v>0.378</v>
      </c>
      <c r="G21" s="4">
        <v>2.829</v>
      </c>
      <c r="H21" s="4">
        <v>1.428</v>
      </c>
      <c r="I21" s="3">
        <f t="shared" si="1"/>
        <v>9.13</v>
      </c>
      <c r="J21" s="3">
        <f t="shared" si="2"/>
        <v>4.104052574</v>
      </c>
      <c r="K21" s="3">
        <f t="shared" si="3"/>
        <v>0.1336161188</v>
      </c>
    </row>
    <row r="22" ht="15.75" customHeight="1">
      <c r="A22" s="2">
        <v>21.0</v>
      </c>
      <c r="B22" s="4">
        <v>22.283</v>
      </c>
      <c r="C22" s="4">
        <v>2.962</v>
      </c>
      <c r="D22" s="4">
        <v>4.039</v>
      </c>
      <c r="E22" s="4">
        <v>2.6</v>
      </c>
      <c r="F22" s="4">
        <v>0.42</v>
      </c>
      <c r="G22" s="4">
        <v>2.012</v>
      </c>
      <c r="H22" s="4">
        <v>1.131</v>
      </c>
      <c r="I22" s="3">
        <f t="shared" si="1"/>
        <v>7.001</v>
      </c>
      <c r="J22" s="3">
        <f t="shared" si="2"/>
        <v>3.182831024</v>
      </c>
      <c r="K22" s="3">
        <f t="shared" si="3"/>
        <v>0.2087475149</v>
      </c>
    </row>
    <row r="23" ht="15.75" customHeight="1">
      <c r="A23" s="2">
        <v>22.0</v>
      </c>
      <c r="B23" s="4">
        <v>23.457</v>
      </c>
      <c r="C23" s="4">
        <v>2.716</v>
      </c>
      <c r="D23" s="4">
        <v>4.016</v>
      </c>
      <c r="E23" s="4">
        <v>2.346</v>
      </c>
      <c r="F23" s="4">
        <v>0.412</v>
      </c>
      <c r="G23" s="4">
        <v>1.99</v>
      </c>
      <c r="H23" s="4">
        <v>1.302</v>
      </c>
      <c r="I23" s="3">
        <f t="shared" si="1"/>
        <v>6.732</v>
      </c>
      <c r="J23" s="3">
        <f t="shared" si="2"/>
        <v>3.484402852</v>
      </c>
      <c r="K23" s="3">
        <f t="shared" si="3"/>
        <v>0.2070351759</v>
      </c>
    </row>
    <row r="24" ht="15.75" customHeight="1">
      <c r="A24" s="2">
        <v>23.0</v>
      </c>
      <c r="B24" s="4">
        <v>30.642</v>
      </c>
      <c r="C24" s="4">
        <v>3.242</v>
      </c>
      <c r="D24" s="4">
        <v>4.479</v>
      </c>
      <c r="E24" s="4">
        <v>3.103</v>
      </c>
      <c r="F24" s="4">
        <v>0.53</v>
      </c>
      <c r="G24" s="4">
        <v>2.503</v>
      </c>
      <c r="H24" s="4">
        <v>1.727</v>
      </c>
      <c r="I24" s="3">
        <f t="shared" si="1"/>
        <v>7.721</v>
      </c>
      <c r="J24" s="3">
        <f t="shared" si="2"/>
        <v>3.96865691</v>
      </c>
      <c r="K24" s="3">
        <f t="shared" si="3"/>
        <v>0.2117459049</v>
      </c>
    </row>
    <row r="25" ht="15.75" customHeight="1">
      <c r="A25" s="2">
        <v>24.0</v>
      </c>
      <c r="B25" s="4">
        <v>26.48</v>
      </c>
      <c r="C25" s="4">
        <v>3.479</v>
      </c>
      <c r="D25" s="4">
        <v>4.287</v>
      </c>
      <c r="E25" s="4">
        <v>2.91</v>
      </c>
      <c r="F25" s="4">
        <v>0.443</v>
      </c>
      <c r="G25" s="4">
        <v>2.649</v>
      </c>
      <c r="H25" s="4">
        <v>1.152</v>
      </c>
      <c r="I25" s="3">
        <f t="shared" si="1"/>
        <v>7.766</v>
      </c>
      <c r="J25" s="3">
        <f t="shared" si="2"/>
        <v>3.409734741</v>
      </c>
      <c r="K25" s="3">
        <f t="shared" si="3"/>
        <v>0.1672329181</v>
      </c>
    </row>
    <row r="26" ht="15.75" customHeight="1">
      <c r="A26" s="2">
        <v>25.0</v>
      </c>
      <c r="B26" s="4">
        <v>31.893</v>
      </c>
      <c r="C26" s="4">
        <v>3.569</v>
      </c>
      <c r="D26" s="4">
        <v>4.551</v>
      </c>
      <c r="E26" s="4">
        <v>2.814</v>
      </c>
      <c r="F26" s="4">
        <v>0.426</v>
      </c>
      <c r="G26" s="4">
        <v>2.641</v>
      </c>
      <c r="H26" s="4">
        <v>1.72</v>
      </c>
      <c r="I26" s="3">
        <f t="shared" si="1"/>
        <v>8.12</v>
      </c>
      <c r="J26" s="3">
        <f t="shared" si="2"/>
        <v>3.92770936</v>
      </c>
      <c r="K26" s="3">
        <f t="shared" si="3"/>
        <v>0.1613025369</v>
      </c>
    </row>
    <row r="27" ht="15.75" customHeight="1">
      <c r="A27" s="2">
        <v>26.0</v>
      </c>
      <c r="B27" s="4">
        <v>16.888</v>
      </c>
      <c r="C27" s="4">
        <v>3.355</v>
      </c>
      <c r="D27" s="4">
        <v>4.243</v>
      </c>
      <c r="E27" s="4">
        <v>2.785</v>
      </c>
      <c r="F27" s="4">
        <v>0.446</v>
      </c>
      <c r="G27" s="4">
        <v>2.39</v>
      </c>
      <c r="H27" s="4">
        <v>1.239</v>
      </c>
      <c r="I27" s="3">
        <f t="shared" si="1"/>
        <v>7.598</v>
      </c>
      <c r="J27" s="3">
        <f t="shared" si="2"/>
        <v>2.222690182</v>
      </c>
      <c r="K27" s="3">
        <f t="shared" si="3"/>
        <v>0.1866108787</v>
      </c>
    </row>
    <row r="28" ht="15.75" customHeight="1">
      <c r="A28" s="2">
        <v>27.0</v>
      </c>
      <c r="B28" s="4">
        <v>23.162</v>
      </c>
      <c r="C28" s="4">
        <v>3.195</v>
      </c>
      <c r="D28" s="4">
        <v>3.972</v>
      </c>
      <c r="E28" s="4">
        <v>2.429</v>
      </c>
      <c r="F28" s="4">
        <v>0.453</v>
      </c>
      <c r="G28" s="4">
        <v>2.197</v>
      </c>
      <c r="H28" s="4">
        <v>1.421</v>
      </c>
      <c r="I28" s="3">
        <f t="shared" si="1"/>
        <v>7.167</v>
      </c>
      <c r="J28" s="3">
        <f t="shared" si="2"/>
        <v>3.231756662</v>
      </c>
      <c r="K28" s="3">
        <f t="shared" si="3"/>
        <v>0.2061902594</v>
      </c>
    </row>
    <row r="29" ht="15.75" customHeight="1">
      <c r="A29" s="2">
        <v>28.0</v>
      </c>
      <c r="B29" s="4">
        <v>30.39</v>
      </c>
      <c r="C29" s="4">
        <v>3.742</v>
      </c>
      <c r="D29" s="4">
        <v>4.609</v>
      </c>
      <c r="E29" s="4">
        <v>3.612</v>
      </c>
      <c r="F29" s="4">
        <v>0.516</v>
      </c>
      <c r="G29" s="4">
        <v>2.657</v>
      </c>
      <c r="H29" s="4">
        <v>2.116</v>
      </c>
      <c r="I29" s="3">
        <f t="shared" si="1"/>
        <v>8.351</v>
      </c>
      <c r="J29" s="3">
        <f t="shared" si="2"/>
        <v>3.63908514</v>
      </c>
      <c r="K29" s="3">
        <f t="shared" si="3"/>
        <v>0.1942039895</v>
      </c>
    </row>
    <row r="30" ht="15.75" customHeight="1">
      <c r="A30" s="2">
        <v>29.0</v>
      </c>
      <c r="B30" s="4">
        <v>28.792</v>
      </c>
      <c r="C30" s="4">
        <v>3.658</v>
      </c>
      <c r="D30" s="4">
        <v>4.147</v>
      </c>
      <c r="E30" s="4">
        <v>2.777</v>
      </c>
      <c r="F30" s="4">
        <v>0.495</v>
      </c>
      <c r="G30" s="4">
        <v>2.371</v>
      </c>
      <c r="H30" s="4">
        <v>1.361</v>
      </c>
      <c r="I30" s="3">
        <f t="shared" si="1"/>
        <v>7.805</v>
      </c>
      <c r="J30" s="3">
        <f t="shared" si="2"/>
        <v>3.688917361</v>
      </c>
      <c r="K30" s="3">
        <f t="shared" si="3"/>
        <v>0.2087726698</v>
      </c>
    </row>
    <row r="31" ht="15.75" customHeight="1">
      <c r="A31" s="2">
        <v>30.0</v>
      </c>
      <c r="B31" s="4">
        <v>35.256</v>
      </c>
      <c r="C31" s="4">
        <v>3.986</v>
      </c>
      <c r="D31" s="4">
        <v>4.957</v>
      </c>
      <c r="E31" s="4">
        <v>3.493</v>
      </c>
      <c r="F31" s="4">
        <v>0.358</v>
      </c>
      <c r="G31" s="4">
        <v>2.639</v>
      </c>
      <c r="H31" s="4">
        <v>2.011</v>
      </c>
      <c r="I31" s="3">
        <f t="shared" si="1"/>
        <v>8.943</v>
      </c>
      <c r="J31" s="3">
        <f t="shared" si="2"/>
        <v>3.942301241</v>
      </c>
      <c r="K31" s="3">
        <f t="shared" si="3"/>
        <v>0.135657446</v>
      </c>
    </row>
    <row r="32" ht="15.75" customHeight="1">
      <c r="A32" s="2" t="s">
        <v>11</v>
      </c>
      <c r="B32" s="3">
        <f t="shared" ref="B32:K32" si="4">AVERAGE(B2:B31)</f>
        <v>30.02936667</v>
      </c>
      <c r="C32" s="3">
        <f t="shared" si="4"/>
        <v>3.551</v>
      </c>
      <c r="D32" s="3">
        <f t="shared" si="4"/>
        <v>4.440766667</v>
      </c>
      <c r="E32" s="3">
        <f t="shared" si="4"/>
        <v>3.014133333</v>
      </c>
      <c r="F32" s="3">
        <f t="shared" si="4"/>
        <v>0.4686</v>
      </c>
      <c r="G32" s="3">
        <f t="shared" si="4"/>
        <v>2.57383</v>
      </c>
      <c r="H32" s="3">
        <f t="shared" si="4"/>
        <v>1.620066667</v>
      </c>
      <c r="I32" s="3">
        <f t="shared" si="4"/>
        <v>7.991766667</v>
      </c>
      <c r="J32" s="3">
        <f t="shared" si="4"/>
        <v>3.742083303</v>
      </c>
      <c r="K32" s="3">
        <f t="shared" si="4"/>
        <v>0.1832498482</v>
      </c>
    </row>
    <row r="33" ht="15.75" customHeight="1">
      <c r="A33" s="2" t="s">
        <v>12</v>
      </c>
      <c r="B33" s="3">
        <f t="shared" ref="B33:K33" si="5">STDEV(B2:B31)</f>
        <v>5.273672583</v>
      </c>
      <c r="C33" s="3">
        <f t="shared" si="5"/>
        <v>0.3420489983</v>
      </c>
      <c r="D33" s="3">
        <f t="shared" si="5"/>
        <v>0.3694916996</v>
      </c>
      <c r="E33" s="3">
        <f t="shared" si="5"/>
        <v>0.3410239888</v>
      </c>
      <c r="F33" s="3">
        <f t="shared" si="5"/>
        <v>0.07322643201</v>
      </c>
      <c r="G33" s="3">
        <f t="shared" si="5"/>
        <v>0.2696551145</v>
      </c>
      <c r="H33" s="3">
        <f t="shared" si="5"/>
        <v>0.3543262605</v>
      </c>
      <c r="I33" s="3">
        <f t="shared" si="5"/>
        <v>0.6478918962</v>
      </c>
      <c r="J33" s="3">
        <f t="shared" si="5"/>
        <v>0.4845996075</v>
      </c>
      <c r="K33" s="3">
        <f t="shared" si="5"/>
        <v>0.02876869423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17.182</v>
      </c>
      <c r="C2" s="3">
        <v>2.881</v>
      </c>
      <c r="D2" s="3">
        <v>3.136</v>
      </c>
      <c r="E2" s="3">
        <v>2.103</v>
      </c>
      <c r="F2" s="3">
        <v>0.329</v>
      </c>
      <c r="G2" s="3">
        <v>1.463</v>
      </c>
      <c r="H2" s="3">
        <v>0.625</v>
      </c>
      <c r="I2" s="3">
        <f t="shared" ref="I2:I31" si="1">C2+D2</f>
        <v>6.017</v>
      </c>
      <c r="J2" s="3">
        <f t="shared" ref="J2:J31" si="2">B2/I2</f>
        <v>2.855575868</v>
      </c>
      <c r="K2" s="3">
        <f t="shared" ref="K2:K31" si="3">F2/G2</f>
        <v>0.2248803828</v>
      </c>
    </row>
    <row r="3">
      <c r="A3" s="2">
        <v>2.0</v>
      </c>
      <c r="B3" s="3">
        <v>16.704</v>
      </c>
      <c r="C3" s="3">
        <v>2.692</v>
      </c>
      <c r="D3" s="3">
        <v>2.896</v>
      </c>
      <c r="E3" s="3">
        <v>2.077</v>
      </c>
      <c r="F3" s="3">
        <v>0.259</v>
      </c>
      <c r="G3" s="3">
        <v>1.667</v>
      </c>
      <c r="H3" s="3">
        <v>0.849</v>
      </c>
      <c r="I3" s="3">
        <f t="shared" si="1"/>
        <v>5.588</v>
      </c>
      <c r="J3" s="3">
        <f t="shared" si="2"/>
        <v>2.989262706</v>
      </c>
      <c r="K3" s="3">
        <f t="shared" si="3"/>
        <v>0.1553689262</v>
      </c>
    </row>
    <row r="4">
      <c r="A4" s="2">
        <v>3.0</v>
      </c>
      <c r="B4" s="3">
        <v>19.562</v>
      </c>
      <c r="C4" s="3">
        <v>3.108</v>
      </c>
      <c r="D4" s="3">
        <v>3.252</v>
      </c>
      <c r="E4" s="3">
        <v>2.758</v>
      </c>
      <c r="F4" s="3">
        <v>0.394</v>
      </c>
      <c r="G4" s="3">
        <v>1.468</v>
      </c>
      <c r="H4" s="3">
        <v>1.207</v>
      </c>
      <c r="I4" s="3">
        <f t="shared" si="1"/>
        <v>6.36</v>
      </c>
      <c r="J4" s="3">
        <f t="shared" si="2"/>
        <v>3.075786164</v>
      </c>
      <c r="K4" s="3">
        <f t="shared" si="3"/>
        <v>0.2683923706</v>
      </c>
    </row>
    <row r="5">
      <c r="A5" s="2">
        <v>4.0</v>
      </c>
      <c r="B5" s="3">
        <v>13.584</v>
      </c>
      <c r="C5" s="3">
        <v>2.516</v>
      </c>
      <c r="D5" s="3">
        <v>3.164</v>
      </c>
      <c r="E5" s="3">
        <v>1.892</v>
      </c>
      <c r="F5" s="3">
        <v>0.294</v>
      </c>
      <c r="G5" s="3">
        <v>1.417</v>
      </c>
      <c r="H5" s="3">
        <v>1.017</v>
      </c>
      <c r="I5" s="3">
        <f t="shared" si="1"/>
        <v>5.68</v>
      </c>
      <c r="J5" s="3">
        <f t="shared" si="2"/>
        <v>2.391549296</v>
      </c>
      <c r="K5" s="3">
        <f t="shared" si="3"/>
        <v>0.2074805928</v>
      </c>
    </row>
    <row r="6">
      <c r="A6" s="2">
        <v>5.0</v>
      </c>
      <c r="B6" s="3">
        <v>13.434</v>
      </c>
      <c r="C6" s="3">
        <v>2.66</v>
      </c>
      <c r="D6" s="3">
        <v>3.078</v>
      </c>
      <c r="E6" s="3">
        <v>2.365</v>
      </c>
      <c r="F6" s="3">
        <v>0.298</v>
      </c>
      <c r="G6" s="3">
        <v>1.556</v>
      </c>
      <c r="H6" s="3">
        <v>0.867</v>
      </c>
      <c r="I6" s="3">
        <f t="shared" si="1"/>
        <v>5.738</v>
      </c>
      <c r="J6" s="3">
        <f t="shared" si="2"/>
        <v>2.341233879</v>
      </c>
      <c r="K6" s="3">
        <f t="shared" si="3"/>
        <v>0.1915167095</v>
      </c>
    </row>
    <row r="7">
      <c r="A7" s="2">
        <v>6.0</v>
      </c>
      <c r="B7" s="3">
        <v>12.264</v>
      </c>
      <c r="C7" s="3">
        <v>2.707</v>
      </c>
      <c r="D7" s="3">
        <v>2.786</v>
      </c>
      <c r="E7" s="3">
        <v>1.956</v>
      </c>
      <c r="F7" s="3">
        <v>0.32</v>
      </c>
      <c r="G7" s="3">
        <v>1.506</v>
      </c>
      <c r="H7" s="3">
        <v>0.87</v>
      </c>
      <c r="I7" s="3">
        <f t="shared" si="1"/>
        <v>5.493</v>
      </c>
      <c r="J7" s="3">
        <f t="shared" si="2"/>
        <v>2.232659749</v>
      </c>
      <c r="K7" s="3">
        <f t="shared" si="3"/>
        <v>0.2124833997</v>
      </c>
    </row>
    <row r="8">
      <c r="A8" s="2">
        <v>7.0</v>
      </c>
      <c r="B8" s="3">
        <v>12.517</v>
      </c>
      <c r="C8" s="3">
        <v>2.705</v>
      </c>
      <c r="D8" s="3">
        <v>2.7</v>
      </c>
      <c r="E8" s="3">
        <v>1.964</v>
      </c>
      <c r="F8" s="3">
        <v>0.236</v>
      </c>
      <c r="G8" s="3">
        <v>1.374</v>
      </c>
      <c r="H8" s="3">
        <v>0.915</v>
      </c>
      <c r="I8" s="3">
        <f t="shared" si="1"/>
        <v>5.405</v>
      </c>
      <c r="J8" s="3">
        <f t="shared" si="2"/>
        <v>2.315818686</v>
      </c>
      <c r="K8" s="3">
        <f t="shared" si="3"/>
        <v>0.1717612809</v>
      </c>
    </row>
    <row r="9">
      <c r="A9" s="2">
        <v>8.0</v>
      </c>
      <c r="B9" s="3">
        <v>10.611</v>
      </c>
      <c r="C9" s="3">
        <v>2.442</v>
      </c>
      <c r="D9" s="3">
        <v>2.75</v>
      </c>
      <c r="E9" s="3">
        <v>1.457</v>
      </c>
      <c r="F9" s="3">
        <v>0.307</v>
      </c>
      <c r="G9" s="3">
        <v>1.408</v>
      </c>
      <c r="H9" s="3">
        <v>0.682</v>
      </c>
      <c r="I9" s="3">
        <f t="shared" si="1"/>
        <v>5.192</v>
      </c>
      <c r="J9" s="3">
        <f t="shared" si="2"/>
        <v>2.043721109</v>
      </c>
      <c r="K9" s="3">
        <f t="shared" si="3"/>
        <v>0.2180397727</v>
      </c>
    </row>
    <row r="10">
      <c r="A10" s="2">
        <v>9.0</v>
      </c>
      <c r="B10" s="3">
        <v>15.305</v>
      </c>
      <c r="C10" s="3">
        <v>2.634</v>
      </c>
      <c r="D10" s="3">
        <v>2.964</v>
      </c>
      <c r="E10" s="3">
        <v>1.976</v>
      </c>
      <c r="F10" s="3">
        <v>0.324</v>
      </c>
      <c r="G10" s="3">
        <v>1.538</v>
      </c>
      <c r="H10" s="3">
        <v>0.941</v>
      </c>
      <c r="I10" s="3">
        <f t="shared" si="1"/>
        <v>5.598</v>
      </c>
      <c r="J10" s="3">
        <f t="shared" si="2"/>
        <v>2.734012147</v>
      </c>
      <c r="K10" s="3">
        <f t="shared" si="3"/>
        <v>0.210663199</v>
      </c>
    </row>
    <row r="11">
      <c r="A11" s="2">
        <v>10.0</v>
      </c>
      <c r="B11" s="4">
        <v>16.064</v>
      </c>
      <c r="C11" s="4">
        <v>2.728</v>
      </c>
      <c r="D11" s="4">
        <v>2.779</v>
      </c>
      <c r="E11" s="4">
        <v>1.973</v>
      </c>
      <c r="F11" s="4">
        <v>0.271</v>
      </c>
      <c r="G11" s="4">
        <v>1.361</v>
      </c>
      <c r="H11" s="4">
        <v>0.658</v>
      </c>
      <c r="I11" s="3">
        <f t="shared" si="1"/>
        <v>5.507</v>
      </c>
      <c r="J11" s="3">
        <f t="shared" si="2"/>
        <v>2.917014709</v>
      </c>
      <c r="K11" s="3">
        <f t="shared" si="3"/>
        <v>0.1991182954</v>
      </c>
    </row>
    <row r="12">
      <c r="A12" s="2">
        <v>11.0</v>
      </c>
      <c r="B12" s="4">
        <v>17.105</v>
      </c>
      <c r="C12" s="4">
        <v>2.746</v>
      </c>
      <c r="D12" s="4">
        <v>3.346</v>
      </c>
      <c r="E12" s="4">
        <v>2.751</v>
      </c>
      <c r="F12" s="4">
        <v>0.287</v>
      </c>
      <c r="G12" s="4">
        <v>1.61</v>
      </c>
      <c r="H12" s="4">
        <v>1.125</v>
      </c>
      <c r="I12" s="3">
        <f t="shared" si="1"/>
        <v>6.092</v>
      </c>
      <c r="J12" s="3">
        <f t="shared" si="2"/>
        <v>2.807780696</v>
      </c>
      <c r="K12" s="3">
        <f t="shared" si="3"/>
        <v>0.1782608696</v>
      </c>
    </row>
    <row r="13">
      <c r="A13" s="2">
        <v>12.0</v>
      </c>
      <c r="B13" s="4">
        <v>17.358</v>
      </c>
      <c r="C13" s="4">
        <v>2.838</v>
      </c>
      <c r="D13" s="4">
        <v>2.999</v>
      </c>
      <c r="E13" s="4">
        <v>2.536</v>
      </c>
      <c r="F13" s="4">
        <v>0.344</v>
      </c>
      <c r="G13" s="4">
        <v>1.676</v>
      </c>
      <c r="H13" s="4">
        <v>0.865</v>
      </c>
      <c r="I13" s="3">
        <f t="shared" si="1"/>
        <v>5.837</v>
      </c>
      <c r="J13" s="3">
        <f t="shared" si="2"/>
        <v>2.973787905</v>
      </c>
      <c r="K13" s="3">
        <f t="shared" si="3"/>
        <v>0.2052505967</v>
      </c>
    </row>
    <row r="14">
      <c r="A14" s="2">
        <v>13.0</v>
      </c>
      <c r="B14" s="4">
        <v>14.964</v>
      </c>
      <c r="C14" s="4">
        <v>2.808</v>
      </c>
      <c r="D14" s="4">
        <v>2.774</v>
      </c>
      <c r="E14" s="4">
        <v>2.027</v>
      </c>
      <c r="F14" s="4">
        <v>0.368</v>
      </c>
      <c r="G14" s="4">
        <v>1.521</v>
      </c>
      <c r="H14" s="4">
        <v>1.016</v>
      </c>
      <c r="I14" s="3">
        <f t="shared" si="1"/>
        <v>5.582</v>
      </c>
      <c r="J14" s="3">
        <f t="shared" si="2"/>
        <v>2.680759584</v>
      </c>
      <c r="K14" s="3">
        <f t="shared" si="3"/>
        <v>0.2419460881</v>
      </c>
    </row>
    <row r="15">
      <c r="A15" s="2">
        <v>14.0</v>
      </c>
      <c r="B15" s="4">
        <v>14.5</v>
      </c>
      <c r="C15" s="4">
        <v>2.83</v>
      </c>
      <c r="D15" s="4">
        <v>2.931</v>
      </c>
      <c r="E15" s="4">
        <v>2.315</v>
      </c>
      <c r="F15" s="4">
        <v>0.296</v>
      </c>
      <c r="G15" s="4">
        <v>1.792</v>
      </c>
      <c r="H15" s="4">
        <v>0.992</v>
      </c>
      <c r="I15" s="3">
        <f t="shared" si="1"/>
        <v>5.761</v>
      </c>
      <c r="J15" s="3">
        <f t="shared" si="2"/>
        <v>2.516924145</v>
      </c>
      <c r="K15" s="3">
        <f t="shared" si="3"/>
        <v>0.1651785714</v>
      </c>
    </row>
    <row r="16">
      <c r="A16" s="2">
        <v>15.0</v>
      </c>
      <c r="B16" s="4">
        <v>15.61</v>
      </c>
      <c r="C16" s="4">
        <v>2.748</v>
      </c>
      <c r="D16" s="4">
        <v>2.874</v>
      </c>
      <c r="E16" s="4">
        <v>2.345</v>
      </c>
      <c r="F16" s="4">
        <v>0.253</v>
      </c>
      <c r="G16" s="4">
        <v>1.403</v>
      </c>
      <c r="H16" s="4">
        <v>0.957</v>
      </c>
      <c r="I16" s="3">
        <f t="shared" si="1"/>
        <v>5.622</v>
      </c>
      <c r="J16" s="3">
        <f t="shared" si="2"/>
        <v>2.77659196</v>
      </c>
      <c r="K16" s="3">
        <f t="shared" si="3"/>
        <v>0.1803278689</v>
      </c>
    </row>
    <row r="17">
      <c r="A17" s="2">
        <v>16.0</v>
      </c>
      <c r="B17" s="4">
        <v>13.245</v>
      </c>
      <c r="C17" s="4">
        <v>2.794</v>
      </c>
      <c r="D17" s="4">
        <v>2.643</v>
      </c>
      <c r="E17" s="4">
        <v>2.0</v>
      </c>
      <c r="F17" s="4">
        <v>0.234</v>
      </c>
      <c r="G17" s="4">
        <v>1.231</v>
      </c>
      <c r="H17" s="4">
        <v>0.582</v>
      </c>
      <c r="I17" s="3">
        <f t="shared" si="1"/>
        <v>5.437</v>
      </c>
      <c r="J17" s="3">
        <f t="shared" si="2"/>
        <v>2.436086077</v>
      </c>
      <c r="K17" s="3">
        <f t="shared" si="3"/>
        <v>0.1900893582</v>
      </c>
    </row>
    <row r="18">
      <c r="A18" s="2">
        <v>17.0</v>
      </c>
      <c r="B18" s="4">
        <v>15.216</v>
      </c>
      <c r="C18" s="4">
        <v>2.864</v>
      </c>
      <c r="D18" s="4">
        <v>2.928</v>
      </c>
      <c r="E18" s="4">
        <v>2.054</v>
      </c>
      <c r="F18" s="4">
        <v>0.253</v>
      </c>
      <c r="G18" s="4">
        <v>1.458</v>
      </c>
      <c r="H18" s="4">
        <v>0.969</v>
      </c>
      <c r="I18" s="3">
        <f t="shared" si="1"/>
        <v>5.792</v>
      </c>
      <c r="J18" s="3">
        <f t="shared" si="2"/>
        <v>2.627071823</v>
      </c>
      <c r="K18" s="3">
        <f t="shared" si="3"/>
        <v>0.1735253772</v>
      </c>
    </row>
    <row r="19">
      <c r="A19" s="2">
        <v>18.0</v>
      </c>
      <c r="B19" s="4">
        <v>11.925</v>
      </c>
      <c r="C19" s="4">
        <v>2.259</v>
      </c>
      <c r="D19" s="4">
        <v>2.57</v>
      </c>
      <c r="E19" s="4">
        <v>1.729</v>
      </c>
      <c r="F19" s="4">
        <v>0.234</v>
      </c>
      <c r="G19" s="4">
        <v>1.154</v>
      </c>
      <c r="H19" s="4">
        <v>0.693</v>
      </c>
      <c r="I19" s="3">
        <f t="shared" si="1"/>
        <v>4.829</v>
      </c>
      <c r="J19" s="3">
        <f t="shared" si="2"/>
        <v>2.469455374</v>
      </c>
      <c r="K19" s="3">
        <f t="shared" si="3"/>
        <v>0.2027729636</v>
      </c>
    </row>
    <row r="20">
      <c r="A20" s="2">
        <v>19.0</v>
      </c>
      <c r="B20" s="4">
        <v>12.719</v>
      </c>
      <c r="C20" s="4">
        <v>2.554</v>
      </c>
      <c r="D20" s="4">
        <v>2.559</v>
      </c>
      <c r="E20" s="4">
        <v>1.769</v>
      </c>
      <c r="F20" s="4">
        <v>0.246</v>
      </c>
      <c r="G20" s="4">
        <v>1.115</v>
      </c>
      <c r="H20" s="4">
        <v>0.424</v>
      </c>
      <c r="I20" s="3">
        <f t="shared" si="1"/>
        <v>5.113</v>
      </c>
      <c r="J20" s="3">
        <f t="shared" si="2"/>
        <v>2.487580677</v>
      </c>
      <c r="K20" s="3">
        <f t="shared" si="3"/>
        <v>0.2206278027</v>
      </c>
    </row>
    <row r="21" ht="15.75" customHeight="1">
      <c r="A21" s="2">
        <v>20.0</v>
      </c>
      <c r="B21" s="4">
        <v>15.288</v>
      </c>
      <c r="C21" s="4">
        <v>2.762</v>
      </c>
      <c r="D21" s="4">
        <v>2.933</v>
      </c>
      <c r="E21" s="4">
        <v>2.221</v>
      </c>
      <c r="F21" s="4">
        <v>0.242</v>
      </c>
      <c r="G21" s="4">
        <v>1.56</v>
      </c>
      <c r="H21" s="4">
        <v>1.241</v>
      </c>
      <c r="I21" s="3">
        <f t="shared" si="1"/>
        <v>5.695</v>
      </c>
      <c r="J21" s="3">
        <f t="shared" si="2"/>
        <v>2.684460053</v>
      </c>
      <c r="K21" s="3">
        <f t="shared" si="3"/>
        <v>0.1551282051</v>
      </c>
    </row>
    <row r="22" ht="15.75" customHeight="1">
      <c r="A22" s="2">
        <v>21.0</v>
      </c>
      <c r="B22" s="4">
        <v>12.785</v>
      </c>
      <c r="C22" s="4">
        <v>2.702</v>
      </c>
      <c r="D22" s="4">
        <v>2.935</v>
      </c>
      <c r="E22" s="4">
        <v>2.153</v>
      </c>
      <c r="F22" s="4">
        <v>0.166</v>
      </c>
      <c r="G22" s="4">
        <v>1.331</v>
      </c>
      <c r="H22" s="4">
        <v>0.893</v>
      </c>
      <c r="I22" s="3">
        <f t="shared" si="1"/>
        <v>5.637</v>
      </c>
      <c r="J22" s="3">
        <f t="shared" si="2"/>
        <v>2.268050381</v>
      </c>
      <c r="K22" s="3">
        <f t="shared" si="3"/>
        <v>0.1247182569</v>
      </c>
    </row>
    <row r="23" ht="15.75" customHeight="1">
      <c r="A23" s="2">
        <v>22.0</v>
      </c>
      <c r="B23" s="4">
        <v>15.986</v>
      </c>
      <c r="C23" s="4">
        <v>2.881</v>
      </c>
      <c r="D23" s="4">
        <v>3.004</v>
      </c>
      <c r="E23" s="4">
        <v>2.798</v>
      </c>
      <c r="F23" s="4">
        <v>0.364</v>
      </c>
      <c r="G23" s="4">
        <v>1.607</v>
      </c>
      <c r="H23" s="4">
        <v>1.043</v>
      </c>
      <c r="I23" s="3">
        <f t="shared" si="1"/>
        <v>5.885</v>
      </c>
      <c r="J23" s="3">
        <f t="shared" si="2"/>
        <v>2.716397621</v>
      </c>
      <c r="K23" s="3">
        <f t="shared" si="3"/>
        <v>0.226509023</v>
      </c>
    </row>
    <row r="24" ht="15.75" customHeight="1">
      <c r="A24" s="2">
        <v>23.0</v>
      </c>
      <c r="B24" s="4">
        <v>14.544</v>
      </c>
      <c r="C24" s="4">
        <v>2.818</v>
      </c>
      <c r="D24" s="4">
        <v>2.912</v>
      </c>
      <c r="E24" s="4">
        <v>2.2</v>
      </c>
      <c r="F24" s="4">
        <v>0.306</v>
      </c>
      <c r="G24" s="4">
        <v>1.502</v>
      </c>
      <c r="H24" s="4">
        <v>0.806</v>
      </c>
      <c r="I24" s="3">
        <f t="shared" si="1"/>
        <v>5.73</v>
      </c>
      <c r="J24" s="3">
        <f t="shared" si="2"/>
        <v>2.538219895</v>
      </c>
      <c r="K24" s="3">
        <f t="shared" si="3"/>
        <v>0.2037283622</v>
      </c>
    </row>
    <row r="25" ht="15.75" customHeight="1">
      <c r="A25" s="2">
        <v>24.0</v>
      </c>
      <c r="B25" s="4">
        <v>13.69</v>
      </c>
      <c r="C25" s="4">
        <v>2.66</v>
      </c>
      <c r="D25" s="4">
        <v>2.829</v>
      </c>
      <c r="E25" s="4">
        <v>2.094</v>
      </c>
      <c r="F25" s="4">
        <v>0.228</v>
      </c>
      <c r="G25" s="4">
        <v>1.517</v>
      </c>
      <c r="H25" s="4">
        <v>0.706</v>
      </c>
      <c r="I25" s="3">
        <f t="shared" si="1"/>
        <v>5.489</v>
      </c>
      <c r="J25" s="3">
        <f t="shared" si="2"/>
        <v>2.494079067</v>
      </c>
      <c r="K25" s="3">
        <f t="shared" si="3"/>
        <v>0.1502966381</v>
      </c>
    </row>
    <row r="26" ht="15.75" customHeight="1">
      <c r="A26" s="2">
        <v>25.0</v>
      </c>
      <c r="B26" s="4">
        <v>15.272</v>
      </c>
      <c r="C26" s="4">
        <v>2.589</v>
      </c>
      <c r="D26" s="4">
        <v>3.01</v>
      </c>
      <c r="E26" s="4">
        <v>1.956</v>
      </c>
      <c r="F26" s="4">
        <v>0.279</v>
      </c>
      <c r="G26" s="4">
        <v>1.606</v>
      </c>
      <c r="H26" s="4">
        <v>0.849</v>
      </c>
      <c r="I26" s="3">
        <f t="shared" si="1"/>
        <v>5.599</v>
      </c>
      <c r="J26" s="3">
        <f t="shared" si="2"/>
        <v>2.727629934</v>
      </c>
      <c r="K26" s="3">
        <f t="shared" si="3"/>
        <v>0.1737235367</v>
      </c>
    </row>
    <row r="27" ht="15.75" customHeight="1">
      <c r="A27" s="2">
        <v>26.0</v>
      </c>
      <c r="B27" s="4">
        <v>11.465</v>
      </c>
      <c r="C27" s="4">
        <v>2.499</v>
      </c>
      <c r="D27" s="4">
        <v>2.448</v>
      </c>
      <c r="E27" s="4">
        <v>2.071</v>
      </c>
      <c r="F27" s="4">
        <v>0.217</v>
      </c>
      <c r="G27" s="4">
        <v>1.35</v>
      </c>
      <c r="H27" s="4">
        <v>0.395</v>
      </c>
      <c r="I27" s="3">
        <f t="shared" si="1"/>
        <v>4.947</v>
      </c>
      <c r="J27" s="3">
        <f t="shared" si="2"/>
        <v>2.317566202</v>
      </c>
      <c r="K27" s="3">
        <f t="shared" si="3"/>
        <v>0.1607407407</v>
      </c>
    </row>
    <row r="28" ht="15.75" customHeight="1">
      <c r="A28" s="2">
        <v>27.0</v>
      </c>
      <c r="B28" s="4">
        <v>13.201</v>
      </c>
      <c r="C28" s="4">
        <v>2.581</v>
      </c>
      <c r="D28" s="4">
        <v>2.756</v>
      </c>
      <c r="E28" s="4">
        <v>2.25</v>
      </c>
      <c r="F28" s="4">
        <v>0.226</v>
      </c>
      <c r="G28" s="4">
        <v>1.428</v>
      </c>
      <c r="H28" s="4">
        <v>0.921</v>
      </c>
      <c r="I28" s="3">
        <f t="shared" si="1"/>
        <v>5.337</v>
      </c>
      <c r="J28" s="3">
        <f t="shared" si="2"/>
        <v>2.473486978</v>
      </c>
      <c r="K28" s="3">
        <f t="shared" si="3"/>
        <v>0.1582633053</v>
      </c>
    </row>
    <row r="29" ht="15.75" customHeight="1">
      <c r="A29" s="2">
        <v>28.0</v>
      </c>
      <c r="B29" s="4">
        <v>14.503</v>
      </c>
      <c r="C29" s="4">
        <v>2.775</v>
      </c>
      <c r="D29" s="4">
        <v>3.158</v>
      </c>
      <c r="E29" s="4">
        <v>2.246</v>
      </c>
      <c r="F29" s="4">
        <v>0.273</v>
      </c>
      <c r="G29" s="4">
        <v>1.627</v>
      </c>
      <c r="H29" s="4">
        <v>0.999</v>
      </c>
      <c r="I29" s="3">
        <f t="shared" si="1"/>
        <v>5.933</v>
      </c>
      <c r="J29" s="3">
        <f t="shared" si="2"/>
        <v>2.444463172</v>
      </c>
      <c r="K29" s="3">
        <f t="shared" si="3"/>
        <v>0.1677934849</v>
      </c>
    </row>
    <row r="30" ht="15.75" customHeight="1">
      <c r="A30" s="2">
        <v>29.0</v>
      </c>
      <c r="B30" s="4">
        <v>15.118</v>
      </c>
      <c r="C30" s="4">
        <v>2.644</v>
      </c>
      <c r="D30" s="4">
        <v>3.0</v>
      </c>
      <c r="E30" s="4">
        <v>2.508</v>
      </c>
      <c r="F30" s="4">
        <v>0.253</v>
      </c>
      <c r="G30" s="4">
        <v>1.449</v>
      </c>
      <c r="H30" s="4">
        <v>0.893</v>
      </c>
      <c r="I30" s="3">
        <f t="shared" si="1"/>
        <v>5.644</v>
      </c>
      <c r="J30" s="3">
        <f t="shared" si="2"/>
        <v>2.67859674</v>
      </c>
      <c r="K30" s="3">
        <f t="shared" si="3"/>
        <v>0.1746031746</v>
      </c>
    </row>
    <row r="31" ht="15.75" customHeight="1">
      <c r="A31" s="2">
        <v>30.0</v>
      </c>
      <c r="B31" s="4">
        <v>12.263</v>
      </c>
      <c r="C31" s="4">
        <v>2.456</v>
      </c>
      <c r="D31" s="4">
        <v>2.732</v>
      </c>
      <c r="E31" s="4">
        <v>1.959</v>
      </c>
      <c r="F31" s="4">
        <v>0.231</v>
      </c>
      <c r="G31" s="4">
        <v>1.39</v>
      </c>
      <c r="H31" s="4">
        <v>0.757</v>
      </c>
      <c r="I31" s="3">
        <f t="shared" si="1"/>
        <v>5.188</v>
      </c>
      <c r="J31" s="3">
        <f t="shared" si="2"/>
        <v>2.363723978</v>
      </c>
      <c r="K31" s="3">
        <f t="shared" si="3"/>
        <v>0.1661870504</v>
      </c>
    </row>
    <row r="32" ht="15.75" customHeight="1">
      <c r="A32" s="2" t="s">
        <v>11</v>
      </c>
      <c r="B32" s="3">
        <f t="shared" ref="B32:K32" si="4">AVERAGE(B2:B31)</f>
        <v>14.46613333</v>
      </c>
      <c r="C32" s="3">
        <f t="shared" si="4"/>
        <v>2.696033333</v>
      </c>
      <c r="D32" s="3">
        <f t="shared" si="4"/>
        <v>2.894866667</v>
      </c>
      <c r="E32" s="3">
        <f t="shared" si="4"/>
        <v>2.1501</v>
      </c>
      <c r="F32" s="3">
        <f t="shared" si="4"/>
        <v>0.2777333333</v>
      </c>
      <c r="G32" s="3">
        <f t="shared" si="4"/>
        <v>1.4695</v>
      </c>
      <c r="H32" s="3">
        <f t="shared" si="4"/>
        <v>0.8585666667</v>
      </c>
      <c r="I32" s="3">
        <f t="shared" si="4"/>
        <v>5.5909</v>
      </c>
      <c r="J32" s="3">
        <f t="shared" si="4"/>
        <v>2.579311553</v>
      </c>
      <c r="K32" s="3">
        <f t="shared" si="4"/>
        <v>0.1893125401</v>
      </c>
    </row>
    <row r="33" ht="15.75" customHeight="1">
      <c r="A33" s="2" t="s">
        <v>12</v>
      </c>
      <c r="B33" s="3">
        <f t="shared" ref="B33:K33" si="5">STDEV(B2:B31)</f>
        <v>2.020301953</v>
      </c>
      <c r="C33" s="3">
        <f t="shared" si="5"/>
        <v>0.1657710268</v>
      </c>
      <c r="D33" s="3">
        <f t="shared" si="5"/>
        <v>0.2078565044</v>
      </c>
      <c r="E33" s="3">
        <f t="shared" si="5"/>
        <v>0.3055294274</v>
      </c>
      <c r="F33" s="3">
        <f t="shared" si="5"/>
        <v>0.05133321391</v>
      </c>
      <c r="G33" s="3">
        <f t="shared" si="5"/>
        <v>0.1498792042</v>
      </c>
      <c r="H33" s="3">
        <f t="shared" si="5"/>
        <v>0.2007392688</v>
      </c>
      <c r="I33" s="3">
        <f t="shared" si="5"/>
        <v>0.327907509</v>
      </c>
      <c r="J33" s="3">
        <f t="shared" si="5"/>
        <v>0.2500577143</v>
      </c>
      <c r="K33" s="3">
        <f t="shared" si="5"/>
        <v>0.03115121534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71"/>
    <col customWidth="1" min="3" max="3" width="16.86"/>
    <col customWidth="1" min="4" max="4" width="14.57"/>
    <col customWidth="1" min="5" max="5" width="15.86"/>
    <col customWidth="1" min="6" max="6" width="10.43"/>
    <col customWidth="1" min="7" max="8" width="17.0"/>
    <col customWidth="1" min="9" max="9" width="8.86"/>
    <col customWidth="1" min="10" max="10" width="9.43"/>
    <col customWidth="1" min="11" max="11" width="10.71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4">
        <v>374.997</v>
      </c>
      <c r="C2" s="4">
        <v>13.673</v>
      </c>
      <c r="D2" s="4">
        <v>14.286</v>
      </c>
      <c r="E2" s="4">
        <v>10.112</v>
      </c>
      <c r="F2" s="4">
        <v>24.19</v>
      </c>
      <c r="G2" s="4">
        <v>78.44</v>
      </c>
      <c r="H2" s="4">
        <v>27.022</v>
      </c>
      <c r="I2" s="4">
        <f t="shared" ref="I2:I4" si="1">C2+D2</f>
        <v>27.959</v>
      </c>
      <c r="J2" s="4">
        <f t="shared" ref="J2:J4" si="2">B2/I2</f>
        <v>13.41238957</v>
      </c>
      <c r="K2" s="4">
        <f t="shared" ref="K2:K4" si="3">F2/G2</f>
        <v>0.3083885773</v>
      </c>
    </row>
    <row r="3">
      <c r="A3" s="2">
        <v>2.0</v>
      </c>
      <c r="B3" s="4">
        <v>451.3</v>
      </c>
      <c r="C3" s="4">
        <v>16.34</v>
      </c>
      <c r="D3" s="4">
        <v>12.9</v>
      </c>
      <c r="E3" s="4">
        <v>8.98</v>
      </c>
      <c r="F3" s="4">
        <v>3.79</v>
      </c>
      <c r="G3" s="4">
        <v>8.414</v>
      </c>
      <c r="H3" s="4">
        <v>32.58</v>
      </c>
      <c r="I3" s="4">
        <f t="shared" si="1"/>
        <v>29.24</v>
      </c>
      <c r="J3" s="4">
        <f t="shared" si="2"/>
        <v>15.43433653</v>
      </c>
      <c r="K3" s="4">
        <f t="shared" si="3"/>
        <v>0.4504397433</v>
      </c>
    </row>
    <row r="4">
      <c r="A4" s="2">
        <v>3.0</v>
      </c>
      <c r="B4" s="4">
        <v>407.25</v>
      </c>
      <c r="C4" s="4">
        <v>14.58</v>
      </c>
      <c r="D4" s="4">
        <v>14.5</v>
      </c>
      <c r="E4" s="4">
        <v>10.972</v>
      </c>
      <c r="F4" s="4">
        <v>3.07</v>
      </c>
      <c r="G4" s="4">
        <v>8.48</v>
      </c>
      <c r="H4" s="4">
        <v>25.91</v>
      </c>
      <c r="I4" s="4">
        <f t="shared" si="1"/>
        <v>29.08</v>
      </c>
      <c r="J4" s="4">
        <f t="shared" si="2"/>
        <v>14.00447043</v>
      </c>
      <c r="K4" s="4">
        <f t="shared" si="3"/>
        <v>0.3620283019</v>
      </c>
    </row>
    <row r="5">
      <c r="A5" s="2" t="s">
        <v>11</v>
      </c>
      <c r="B5" s="4">
        <f t="shared" ref="B5:K5" si="4">AVERAGE(B2:B4)</f>
        <v>411.1823333</v>
      </c>
      <c r="C5" s="4">
        <f t="shared" si="4"/>
        <v>14.86433333</v>
      </c>
      <c r="D5" s="4">
        <f t="shared" si="4"/>
        <v>13.89533333</v>
      </c>
      <c r="E5" s="4">
        <f t="shared" si="4"/>
        <v>10.02133333</v>
      </c>
      <c r="F5" s="4">
        <f t="shared" si="4"/>
        <v>10.35</v>
      </c>
      <c r="G5" s="4">
        <f t="shared" si="4"/>
        <v>31.778</v>
      </c>
      <c r="H5" s="4">
        <f t="shared" si="4"/>
        <v>28.504</v>
      </c>
      <c r="I5" s="4">
        <f t="shared" si="4"/>
        <v>28.75966667</v>
      </c>
      <c r="J5" s="4">
        <f t="shared" si="4"/>
        <v>14.28373217</v>
      </c>
      <c r="K5" s="4">
        <f t="shared" si="4"/>
        <v>0.3736188741</v>
      </c>
    </row>
    <row r="6">
      <c r="A6" s="2" t="s">
        <v>15</v>
      </c>
      <c r="B6" s="4">
        <f t="shared" ref="B6:K6" si="5">STDEV(B2:B4)</f>
        <v>38.30319029</v>
      </c>
      <c r="C6" s="4">
        <f t="shared" si="5"/>
        <v>1.35604437</v>
      </c>
      <c r="D6" s="4">
        <f t="shared" si="5"/>
        <v>0.8685996393</v>
      </c>
      <c r="E6" s="4">
        <f t="shared" si="5"/>
        <v>0.9990902528</v>
      </c>
      <c r="F6" s="4">
        <f t="shared" si="5"/>
        <v>11.99119677</v>
      </c>
      <c r="G6" s="4">
        <f t="shared" si="5"/>
        <v>40.41049087</v>
      </c>
      <c r="H6" s="4">
        <f t="shared" si="5"/>
        <v>3.57343924</v>
      </c>
      <c r="I6" s="4">
        <f t="shared" si="5"/>
        <v>0.6979973734</v>
      </c>
      <c r="J6" s="4">
        <f t="shared" si="5"/>
        <v>1.039498781</v>
      </c>
      <c r="K6" s="4">
        <f t="shared" si="5"/>
        <v>0.07173137017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71"/>
    <col customWidth="1" min="3" max="3" width="16.86"/>
    <col customWidth="1" min="4" max="4" width="14.57"/>
    <col customWidth="1" min="5" max="5" width="15.86"/>
    <col customWidth="1" min="6" max="6" width="10.43"/>
    <col customWidth="1" min="7" max="8" width="17.0"/>
    <col customWidth="1" min="9" max="9" width="8.86"/>
    <col customWidth="1" min="10" max="10" width="9.43"/>
    <col customWidth="1" min="11" max="11" width="10.71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184.78</v>
      </c>
      <c r="C2" s="3">
        <v>7.711</v>
      </c>
      <c r="D2" s="3">
        <v>12.96</v>
      </c>
      <c r="E2" s="3">
        <v>12.46</v>
      </c>
      <c r="F2" s="3">
        <v>1.27</v>
      </c>
      <c r="G2" s="3">
        <v>4.44</v>
      </c>
      <c r="H2" s="3">
        <v>10.35</v>
      </c>
      <c r="I2" s="3">
        <f t="shared" ref="I2:I31" si="1">C2+D2</f>
        <v>20.671</v>
      </c>
      <c r="J2" s="3">
        <f t="shared" ref="J2:J31" si="2">B2/I2</f>
        <v>8.939093416</v>
      </c>
      <c r="K2" s="3">
        <f t="shared" ref="K2:K31" si="3">F2/G2</f>
        <v>0.286036036</v>
      </c>
    </row>
    <row r="3">
      <c r="A3" s="2">
        <v>2.0</v>
      </c>
      <c r="B3" s="3">
        <v>165.62</v>
      </c>
      <c r="C3" s="3">
        <v>8.12</v>
      </c>
      <c r="D3" s="3">
        <v>10.06</v>
      </c>
      <c r="E3" s="3">
        <v>8.37</v>
      </c>
      <c r="F3" s="3">
        <v>1.03</v>
      </c>
      <c r="G3" s="3">
        <v>4.12</v>
      </c>
      <c r="H3" s="3">
        <v>11.22</v>
      </c>
      <c r="I3" s="3">
        <f t="shared" si="1"/>
        <v>18.18</v>
      </c>
      <c r="J3" s="3">
        <f t="shared" si="2"/>
        <v>9.110011001</v>
      </c>
      <c r="K3" s="3">
        <f t="shared" si="3"/>
        <v>0.25</v>
      </c>
    </row>
    <row r="4">
      <c r="A4" s="2">
        <v>3.0</v>
      </c>
      <c r="B4" s="3">
        <v>214.67</v>
      </c>
      <c r="C4" s="3">
        <v>11.94</v>
      </c>
      <c r="D4" s="3">
        <v>12.81</v>
      </c>
      <c r="E4" s="3">
        <v>11.66</v>
      </c>
      <c r="F4" s="3">
        <v>2.222</v>
      </c>
      <c r="G4" s="3">
        <v>4.986</v>
      </c>
      <c r="H4" s="3">
        <v>16.25</v>
      </c>
      <c r="I4" s="3">
        <f t="shared" si="1"/>
        <v>24.75</v>
      </c>
      <c r="J4" s="3">
        <f t="shared" si="2"/>
        <v>8.673535354</v>
      </c>
      <c r="K4" s="3">
        <f t="shared" si="3"/>
        <v>0.4456478139</v>
      </c>
    </row>
    <row r="5">
      <c r="A5" s="2">
        <v>4.0</v>
      </c>
      <c r="B5" s="3">
        <v>157.71</v>
      </c>
      <c r="C5" s="3">
        <v>9.18</v>
      </c>
      <c r="D5" s="3">
        <v>10.79</v>
      </c>
      <c r="E5" s="3">
        <v>8.68</v>
      </c>
      <c r="F5" s="3">
        <v>1.36</v>
      </c>
      <c r="G5" s="3">
        <v>3.95</v>
      </c>
      <c r="H5" s="3">
        <v>8.62</v>
      </c>
      <c r="I5" s="3">
        <f t="shared" si="1"/>
        <v>19.97</v>
      </c>
      <c r="J5" s="3">
        <f t="shared" si="2"/>
        <v>7.897346019</v>
      </c>
      <c r="K5" s="3">
        <f t="shared" si="3"/>
        <v>0.3443037975</v>
      </c>
    </row>
    <row r="6">
      <c r="A6" s="2">
        <v>5.0</v>
      </c>
      <c r="B6" s="3">
        <v>234.07</v>
      </c>
      <c r="C6" s="3">
        <v>12.43</v>
      </c>
      <c r="D6" s="3">
        <v>13.64</v>
      </c>
      <c r="E6" s="3">
        <v>10.65</v>
      </c>
      <c r="F6" s="3">
        <v>2.15</v>
      </c>
      <c r="G6" s="3">
        <v>6.59</v>
      </c>
      <c r="H6" s="3">
        <v>17.62</v>
      </c>
      <c r="I6" s="3">
        <f t="shared" si="1"/>
        <v>26.07</v>
      </c>
      <c r="J6" s="3">
        <f t="shared" si="2"/>
        <v>8.978519371</v>
      </c>
      <c r="K6" s="3">
        <f t="shared" si="3"/>
        <v>0.3262518968</v>
      </c>
    </row>
    <row r="7">
      <c r="A7" s="2">
        <v>6.0</v>
      </c>
      <c r="B7" s="3">
        <v>254.39</v>
      </c>
      <c r="C7" s="3">
        <v>11.343</v>
      </c>
      <c r="D7" s="3">
        <v>15.83</v>
      </c>
      <c r="E7" s="3">
        <v>11.36</v>
      </c>
      <c r="F7" s="3">
        <v>2.27</v>
      </c>
      <c r="G7" s="3">
        <v>4.88</v>
      </c>
      <c r="H7" s="3">
        <v>19.99</v>
      </c>
      <c r="I7" s="3">
        <f t="shared" si="1"/>
        <v>27.173</v>
      </c>
      <c r="J7" s="3">
        <f t="shared" si="2"/>
        <v>9.361866559</v>
      </c>
      <c r="K7" s="3">
        <f t="shared" si="3"/>
        <v>0.4651639344</v>
      </c>
    </row>
    <row r="8">
      <c r="A8" s="2">
        <v>7.0</v>
      </c>
      <c r="B8" s="3">
        <v>184.25</v>
      </c>
      <c r="C8" s="3">
        <v>9.27</v>
      </c>
      <c r="D8" s="3">
        <v>11.99</v>
      </c>
      <c r="E8" s="3">
        <v>10.4</v>
      </c>
      <c r="F8" s="3">
        <v>1.83</v>
      </c>
      <c r="G8" s="3">
        <v>4.64</v>
      </c>
      <c r="H8" s="3">
        <v>12.04</v>
      </c>
      <c r="I8" s="3">
        <f t="shared" si="1"/>
        <v>21.26</v>
      </c>
      <c r="J8" s="3">
        <f t="shared" si="2"/>
        <v>8.666509878</v>
      </c>
      <c r="K8" s="3">
        <f t="shared" si="3"/>
        <v>0.3943965517</v>
      </c>
    </row>
    <row r="9">
      <c r="A9" s="2">
        <v>8.0</v>
      </c>
      <c r="B9" s="3">
        <v>219.09</v>
      </c>
      <c r="C9" s="3">
        <v>11.38</v>
      </c>
      <c r="D9" s="3">
        <v>13.8</v>
      </c>
      <c r="E9" s="3">
        <v>11.98</v>
      </c>
      <c r="F9" s="3">
        <v>1.71</v>
      </c>
      <c r="G9" s="3">
        <v>6.11</v>
      </c>
      <c r="H9" s="3">
        <v>16.52</v>
      </c>
      <c r="I9" s="3">
        <f t="shared" si="1"/>
        <v>25.18</v>
      </c>
      <c r="J9" s="3">
        <f t="shared" si="2"/>
        <v>8.700953137</v>
      </c>
      <c r="K9" s="3">
        <f t="shared" si="3"/>
        <v>0.2798690671</v>
      </c>
    </row>
    <row r="10">
      <c r="A10" s="2">
        <v>9.0</v>
      </c>
      <c r="B10" s="3">
        <v>133.24</v>
      </c>
      <c r="C10" s="3">
        <v>8.354</v>
      </c>
      <c r="D10" s="3">
        <v>10.1</v>
      </c>
      <c r="E10" s="3">
        <v>8.05</v>
      </c>
      <c r="F10" s="3">
        <v>1.3</v>
      </c>
      <c r="G10" s="3">
        <v>4.5</v>
      </c>
      <c r="H10" s="3">
        <v>9.27</v>
      </c>
      <c r="I10" s="3">
        <f t="shared" si="1"/>
        <v>18.454</v>
      </c>
      <c r="J10" s="3">
        <f t="shared" si="2"/>
        <v>7.22011488</v>
      </c>
      <c r="K10" s="3">
        <f t="shared" si="3"/>
        <v>0.2888888889</v>
      </c>
    </row>
    <row r="11">
      <c r="A11" s="2">
        <v>10.0</v>
      </c>
      <c r="B11" s="3">
        <v>195.73</v>
      </c>
      <c r="C11" s="3">
        <v>9.35</v>
      </c>
      <c r="D11" s="3">
        <v>12.2</v>
      </c>
      <c r="E11" s="3">
        <v>10.73</v>
      </c>
      <c r="F11" s="3">
        <v>1.8</v>
      </c>
      <c r="G11" s="3">
        <v>4.5</v>
      </c>
      <c r="H11" s="3">
        <v>11.35</v>
      </c>
      <c r="I11" s="3">
        <f t="shared" si="1"/>
        <v>21.55</v>
      </c>
      <c r="J11" s="3">
        <f t="shared" si="2"/>
        <v>9.082598608</v>
      </c>
      <c r="K11" s="3">
        <f t="shared" si="3"/>
        <v>0.4</v>
      </c>
    </row>
    <row r="12">
      <c r="A12" s="2">
        <v>11.0</v>
      </c>
      <c r="B12" s="3">
        <v>239.4</v>
      </c>
      <c r="C12" s="3">
        <v>11.64</v>
      </c>
      <c r="D12" s="3">
        <v>13.06</v>
      </c>
      <c r="E12" s="3">
        <v>13.53</v>
      </c>
      <c r="F12" s="3">
        <v>2.3</v>
      </c>
      <c r="G12" s="3">
        <v>6.22</v>
      </c>
      <c r="H12" s="3">
        <v>17.39</v>
      </c>
      <c r="I12" s="3">
        <f t="shared" si="1"/>
        <v>24.7</v>
      </c>
      <c r="J12" s="3">
        <f t="shared" si="2"/>
        <v>9.692307692</v>
      </c>
      <c r="K12" s="3">
        <f t="shared" si="3"/>
        <v>0.3697749196</v>
      </c>
    </row>
    <row r="13">
      <c r="A13" s="2">
        <v>12.0</v>
      </c>
      <c r="B13" s="3">
        <v>253.41</v>
      </c>
      <c r="C13" s="3">
        <v>11.55</v>
      </c>
      <c r="D13" s="3">
        <v>14.37</v>
      </c>
      <c r="E13" s="3">
        <v>11.06</v>
      </c>
      <c r="F13" s="3">
        <v>2.08</v>
      </c>
      <c r="G13" s="3">
        <v>5.54</v>
      </c>
      <c r="H13" s="3">
        <v>18.91</v>
      </c>
      <c r="I13" s="3">
        <f t="shared" si="1"/>
        <v>25.92</v>
      </c>
      <c r="J13" s="3">
        <f t="shared" si="2"/>
        <v>9.77662037</v>
      </c>
      <c r="K13" s="3">
        <f t="shared" si="3"/>
        <v>0.3754512635</v>
      </c>
    </row>
    <row r="14">
      <c r="A14" s="2">
        <v>13.0</v>
      </c>
      <c r="B14" s="3">
        <v>172.993</v>
      </c>
      <c r="C14" s="3">
        <v>9.604</v>
      </c>
      <c r="D14" s="3">
        <v>10.453</v>
      </c>
      <c r="E14" s="3">
        <v>10.124</v>
      </c>
      <c r="F14" s="3">
        <v>1.556</v>
      </c>
      <c r="G14" s="3">
        <v>5.686</v>
      </c>
      <c r="H14" s="3">
        <v>10.668</v>
      </c>
      <c r="I14" s="3">
        <f t="shared" si="1"/>
        <v>20.057</v>
      </c>
      <c r="J14" s="3">
        <f t="shared" si="2"/>
        <v>8.625068555</v>
      </c>
      <c r="K14" s="3">
        <f t="shared" si="3"/>
        <v>0.2736545902</v>
      </c>
    </row>
    <row r="15">
      <c r="A15" s="2">
        <v>14.0</v>
      </c>
      <c r="B15" s="3">
        <v>206.123</v>
      </c>
      <c r="C15" s="3">
        <v>10.1</v>
      </c>
      <c r="D15" s="3">
        <v>11.629</v>
      </c>
      <c r="E15" s="3">
        <v>9.958</v>
      </c>
      <c r="F15" s="3">
        <v>1.74</v>
      </c>
      <c r="G15" s="3">
        <v>5.903</v>
      </c>
      <c r="H15" s="3">
        <v>10.279</v>
      </c>
      <c r="I15" s="3">
        <f t="shared" si="1"/>
        <v>21.729</v>
      </c>
      <c r="J15" s="3">
        <f t="shared" si="2"/>
        <v>9.486078513</v>
      </c>
      <c r="K15" s="3">
        <f t="shared" si="3"/>
        <v>0.2947653735</v>
      </c>
    </row>
    <row r="16">
      <c r="A16" s="2">
        <v>15.0</v>
      </c>
      <c r="B16" s="3">
        <v>197.841</v>
      </c>
      <c r="C16" s="3">
        <v>10.499</v>
      </c>
      <c r="D16" s="3">
        <v>12.251</v>
      </c>
      <c r="E16" s="3">
        <v>10.581</v>
      </c>
      <c r="F16" s="3">
        <v>2.088</v>
      </c>
      <c r="G16" s="3">
        <v>5.454</v>
      </c>
      <c r="H16" s="3">
        <v>15.227</v>
      </c>
      <c r="I16" s="3">
        <f t="shared" si="1"/>
        <v>22.75</v>
      </c>
      <c r="J16" s="3">
        <f t="shared" si="2"/>
        <v>8.696307692</v>
      </c>
      <c r="K16" s="3">
        <f t="shared" si="3"/>
        <v>0.3828382838</v>
      </c>
    </row>
    <row r="17">
      <c r="A17" s="2">
        <v>16.0</v>
      </c>
      <c r="B17" s="3">
        <v>181.568</v>
      </c>
      <c r="C17" s="3">
        <v>9.056</v>
      </c>
      <c r="D17" s="3">
        <v>11.732</v>
      </c>
      <c r="E17" s="3">
        <v>10.865</v>
      </c>
      <c r="F17" s="3">
        <v>1.595</v>
      </c>
      <c r="G17" s="3">
        <v>4.936</v>
      </c>
      <c r="H17" s="3">
        <v>9.632</v>
      </c>
      <c r="I17" s="3">
        <f t="shared" si="1"/>
        <v>20.788</v>
      </c>
      <c r="J17" s="3">
        <f t="shared" si="2"/>
        <v>8.734269771</v>
      </c>
      <c r="K17" s="3">
        <f t="shared" si="3"/>
        <v>0.3231361426</v>
      </c>
    </row>
    <row r="18">
      <c r="A18" s="2">
        <v>17.0</v>
      </c>
      <c r="B18" s="3">
        <v>275.726</v>
      </c>
      <c r="C18" s="3">
        <v>10.592</v>
      </c>
      <c r="D18" s="3">
        <v>12.489</v>
      </c>
      <c r="E18" s="3">
        <v>13.039</v>
      </c>
      <c r="F18" s="3">
        <v>2.91</v>
      </c>
      <c r="G18" s="3">
        <v>5.501</v>
      </c>
      <c r="H18" s="3">
        <v>14.002</v>
      </c>
      <c r="I18" s="3">
        <f t="shared" si="1"/>
        <v>23.081</v>
      </c>
      <c r="J18" s="3">
        <f t="shared" si="2"/>
        <v>11.9460162</v>
      </c>
      <c r="K18" s="3">
        <f t="shared" si="3"/>
        <v>0.5289947282</v>
      </c>
    </row>
    <row r="19">
      <c r="A19" s="2">
        <v>18.0</v>
      </c>
      <c r="B19" s="3">
        <v>225.302</v>
      </c>
      <c r="C19" s="3">
        <v>10.616</v>
      </c>
      <c r="D19" s="3">
        <v>12.31</v>
      </c>
      <c r="E19" s="3">
        <v>12.067</v>
      </c>
      <c r="F19" s="3">
        <v>2.204</v>
      </c>
      <c r="G19" s="3">
        <v>5.868</v>
      </c>
      <c r="H19" s="3">
        <v>13.453</v>
      </c>
      <c r="I19" s="3">
        <f t="shared" si="1"/>
        <v>22.926</v>
      </c>
      <c r="J19" s="3">
        <f t="shared" si="2"/>
        <v>9.827357585</v>
      </c>
      <c r="K19" s="3">
        <f t="shared" si="3"/>
        <v>0.3755964554</v>
      </c>
    </row>
    <row r="20">
      <c r="A20" s="2">
        <v>19.0</v>
      </c>
      <c r="B20" s="3">
        <v>234.48</v>
      </c>
      <c r="C20" s="3">
        <v>10.909</v>
      </c>
      <c r="D20" s="3">
        <v>13.644</v>
      </c>
      <c r="E20" s="3">
        <v>10.635</v>
      </c>
      <c r="F20" s="3">
        <v>2.717</v>
      </c>
      <c r="G20" s="3">
        <v>5.792</v>
      </c>
      <c r="H20" s="3">
        <v>14.44</v>
      </c>
      <c r="I20" s="3">
        <f t="shared" si="1"/>
        <v>24.553</v>
      </c>
      <c r="J20" s="3">
        <f t="shared" si="2"/>
        <v>9.549953163</v>
      </c>
      <c r="K20" s="3">
        <f t="shared" si="3"/>
        <v>0.4690953039</v>
      </c>
    </row>
    <row r="21" ht="15.75" customHeight="1">
      <c r="A21" s="2">
        <v>20.0</v>
      </c>
      <c r="B21" s="3">
        <v>177.966</v>
      </c>
      <c r="C21" s="3">
        <v>9.397</v>
      </c>
      <c r="D21" s="3">
        <v>10.711</v>
      </c>
      <c r="E21" s="3">
        <v>9.456</v>
      </c>
      <c r="F21" s="3">
        <v>1.861</v>
      </c>
      <c r="G21" s="3">
        <v>4.577</v>
      </c>
      <c r="H21" s="3">
        <v>10.18</v>
      </c>
      <c r="I21" s="3">
        <f t="shared" si="1"/>
        <v>20.108</v>
      </c>
      <c r="J21" s="3">
        <f t="shared" si="2"/>
        <v>8.850507261</v>
      </c>
      <c r="K21" s="3">
        <f t="shared" si="3"/>
        <v>0.4065982084</v>
      </c>
    </row>
    <row r="22" ht="15.75" customHeight="1">
      <c r="A22" s="2">
        <v>21.0</v>
      </c>
      <c r="B22" s="3">
        <v>305.082</v>
      </c>
      <c r="C22" s="3">
        <v>10.939</v>
      </c>
      <c r="D22" s="3">
        <v>14.641</v>
      </c>
      <c r="E22" s="3">
        <v>15.612</v>
      </c>
      <c r="F22" s="3">
        <v>2.499</v>
      </c>
      <c r="G22" s="3">
        <v>6.077</v>
      </c>
      <c r="H22" s="3">
        <v>17.54</v>
      </c>
      <c r="I22" s="3">
        <f t="shared" si="1"/>
        <v>25.58</v>
      </c>
      <c r="J22" s="3">
        <f t="shared" si="2"/>
        <v>11.92658327</v>
      </c>
      <c r="K22" s="3">
        <f t="shared" si="3"/>
        <v>0.4112226428</v>
      </c>
    </row>
    <row r="23" ht="15.75" customHeight="1">
      <c r="A23" s="2">
        <v>22.0</v>
      </c>
      <c r="B23" s="3">
        <v>204.165</v>
      </c>
      <c r="C23" s="3">
        <v>15.52</v>
      </c>
      <c r="D23" s="3">
        <v>13.095</v>
      </c>
      <c r="E23" s="3">
        <v>10.241</v>
      </c>
      <c r="F23" s="3">
        <v>2.435</v>
      </c>
      <c r="G23" s="3">
        <v>5.253</v>
      </c>
      <c r="H23" s="3">
        <v>10.81</v>
      </c>
      <c r="I23" s="3">
        <f t="shared" si="1"/>
        <v>28.615</v>
      </c>
      <c r="J23" s="3">
        <f t="shared" si="2"/>
        <v>7.134894286</v>
      </c>
      <c r="K23" s="3">
        <f t="shared" si="3"/>
        <v>0.4635446412</v>
      </c>
    </row>
    <row r="24" ht="15.75" customHeight="1">
      <c r="A24" s="2">
        <v>23.0</v>
      </c>
      <c r="B24" s="3">
        <v>253.087</v>
      </c>
      <c r="C24" s="3">
        <v>11.464</v>
      </c>
      <c r="D24" s="3">
        <v>13.304</v>
      </c>
      <c r="E24" s="3">
        <v>12.535</v>
      </c>
      <c r="F24" s="3">
        <v>2.394</v>
      </c>
      <c r="G24" s="3">
        <v>6.369</v>
      </c>
      <c r="H24" s="3">
        <v>14.727</v>
      </c>
      <c r="I24" s="3">
        <f t="shared" si="1"/>
        <v>24.768</v>
      </c>
      <c r="J24" s="3">
        <f t="shared" si="2"/>
        <v>10.21830588</v>
      </c>
      <c r="K24" s="3">
        <f t="shared" si="3"/>
        <v>0.3758831842</v>
      </c>
    </row>
    <row r="25" ht="15.75" customHeight="1">
      <c r="A25" s="2">
        <v>24.0</v>
      </c>
      <c r="B25" s="3">
        <v>289.549</v>
      </c>
      <c r="C25" s="3">
        <v>10.074</v>
      </c>
      <c r="D25" s="3">
        <v>14.348</v>
      </c>
      <c r="E25" s="3">
        <v>11.608</v>
      </c>
      <c r="F25" s="3">
        <v>2.392</v>
      </c>
      <c r="G25" s="3">
        <v>6.566</v>
      </c>
      <c r="H25" s="3">
        <v>18.495</v>
      </c>
      <c r="I25" s="3">
        <f t="shared" si="1"/>
        <v>24.422</v>
      </c>
      <c r="J25" s="3">
        <f t="shared" si="2"/>
        <v>11.85607239</v>
      </c>
      <c r="K25" s="3">
        <f t="shared" si="3"/>
        <v>0.3643009443</v>
      </c>
    </row>
    <row r="26" ht="15.75" customHeight="1">
      <c r="A26" s="2">
        <v>25.0</v>
      </c>
      <c r="B26" s="3">
        <v>456.578</v>
      </c>
      <c r="C26" s="3">
        <v>11.916</v>
      </c>
      <c r="D26" s="3">
        <v>12.342</v>
      </c>
      <c r="E26" s="3">
        <v>10.43</v>
      </c>
      <c r="F26" s="3">
        <v>2.031</v>
      </c>
      <c r="G26" s="3">
        <v>6.237</v>
      </c>
      <c r="H26" s="3">
        <v>16.111</v>
      </c>
      <c r="I26" s="3">
        <f t="shared" si="1"/>
        <v>24.258</v>
      </c>
      <c r="J26" s="3">
        <f t="shared" si="2"/>
        <v>18.82174953</v>
      </c>
      <c r="K26" s="3">
        <f t="shared" si="3"/>
        <v>0.3256373256</v>
      </c>
    </row>
    <row r="27" ht="15.75" customHeight="1">
      <c r="A27" s="2">
        <v>26.0</v>
      </c>
      <c r="B27" s="3">
        <v>163.149</v>
      </c>
      <c r="C27" s="3">
        <v>10.067</v>
      </c>
      <c r="D27" s="3">
        <v>9.999</v>
      </c>
      <c r="E27" s="3">
        <v>6.92</v>
      </c>
      <c r="F27" s="3">
        <v>1.614</v>
      </c>
      <c r="G27" s="3">
        <v>4.963</v>
      </c>
      <c r="H27" s="3">
        <v>10.476</v>
      </c>
      <c r="I27" s="3">
        <f t="shared" si="1"/>
        <v>20.066</v>
      </c>
      <c r="J27" s="3">
        <f t="shared" si="2"/>
        <v>8.130618957</v>
      </c>
      <c r="K27" s="3">
        <f t="shared" si="3"/>
        <v>0.3252065283</v>
      </c>
    </row>
    <row r="28" ht="15.75" customHeight="1">
      <c r="A28" s="2">
        <v>27.0</v>
      </c>
      <c r="B28" s="3">
        <v>156.05</v>
      </c>
      <c r="C28" s="3">
        <v>9.733</v>
      </c>
      <c r="D28" s="3">
        <v>10.291</v>
      </c>
      <c r="E28" s="3">
        <v>8.231</v>
      </c>
      <c r="F28" s="3">
        <v>1.786</v>
      </c>
      <c r="G28" s="3">
        <v>5.049</v>
      </c>
      <c r="H28" s="3">
        <v>9.939</v>
      </c>
      <c r="I28" s="3">
        <f t="shared" si="1"/>
        <v>20.024</v>
      </c>
      <c r="J28" s="3">
        <f t="shared" si="2"/>
        <v>7.793148222</v>
      </c>
      <c r="K28" s="3">
        <f t="shared" si="3"/>
        <v>0.3537334126</v>
      </c>
    </row>
    <row r="29" ht="15.75" customHeight="1">
      <c r="A29" s="2">
        <v>28.0</v>
      </c>
      <c r="B29" s="3">
        <v>228.475</v>
      </c>
      <c r="C29" s="3">
        <v>11.853</v>
      </c>
      <c r="D29" s="3">
        <v>12.467</v>
      </c>
      <c r="E29" s="3">
        <v>10.465</v>
      </c>
      <c r="F29" s="3">
        <v>2.33</v>
      </c>
      <c r="G29" s="3">
        <v>5.541</v>
      </c>
      <c r="H29" s="3">
        <v>13.503</v>
      </c>
      <c r="I29" s="3">
        <f t="shared" si="1"/>
        <v>24.32</v>
      </c>
      <c r="J29" s="3">
        <f t="shared" si="2"/>
        <v>9.39453125</v>
      </c>
      <c r="K29" s="3">
        <f t="shared" si="3"/>
        <v>0.4205017145</v>
      </c>
    </row>
    <row r="30" ht="15.75" customHeight="1">
      <c r="A30" s="2">
        <v>29.0</v>
      </c>
      <c r="B30" s="3">
        <v>184.458</v>
      </c>
      <c r="C30" s="3">
        <v>9.518</v>
      </c>
      <c r="D30" s="3">
        <v>12.043</v>
      </c>
      <c r="E30" s="3">
        <v>10.077</v>
      </c>
      <c r="F30" s="3">
        <v>1.822</v>
      </c>
      <c r="G30" s="3">
        <v>5.157</v>
      </c>
      <c r="H30" s="3">
        <v>12.979</v>
      </c>
      <c r="I30" s="3">
        <f t="shared" si="1"/>
        <v>21.561</v>
      </c>
      <c r="J30" s="3">
        <f t="shared" si="2"/>
        <v>8.555169055</v>
      </c>
      <c r="K30" s="3">
        <f t="shared" si="3"/>
        <v>0.3533061858</v>
      </c>
    </row>
    <row r="31" ht="15.75" customHeight="1">
      <c r="A31" s="2">
        <v>30.0</v>
      </c>
      <c r="B31" s="3">
        <v>153.767</v>
      </c>
      <c r="C31" s="3">
        <v>8.248</v>
      </c>
      <c r="D31" s="3">
        <v>11.358</v>
      </c>
      <c r="E31" s="3">
        <v>9.104</v>
      </c>
      <c r="F31" s="3">
        <v>1.639</v>
      </c>
      <c r="G31" s="3">
        <v>4.029</v>
      </c>
      <c r="H31" s="3">
        <v>9.033</v>
      </c>
      <c r="I31" s="3">
        <f t="shared" si="1"/>
        <v>19.606</v>
      </c>
      <c r="J31" s="3">
        <f t="shared" si="2"/>
        <v>7.842854228</v>
      </c>
      <c r="K31" s="3">
        <f t="shared" si="3"/>
        <v>0.406800695</v>
      </c>
    </row>
    <row r="32" ht="15.75" customHeight="1">
      <c r="A32" s="2" t="s">
        <v>11</v>
      </c>
      <c r="B32" s="3">
        <f t="shared" ref="B32:K32" si="4">AVERAGE(B2:B31)</f>
        <v>216.7573</v>
      </c>
      <c r="C32" s="3">
        <f t="shared" si="4"/>
        <v>10.41243333</v>
      </c>
      <c r="D32" s="3">
        <f t="shared" si="4"/>
        <v>12.35723333</v>
      </c>
      <c r="E32" s="3">
        <f t="shared" si="4"/>
        <v>10.69593333</v>
      </c>
      <c r="F32" s="3">
        <f t="shared" si="4"/>
        <v>1.9645</v>
      </c>
      <c r="G32" s="3">
        <f t="shared" si="4"/>
        <v>5.314466667</v>
      </c>
      <c r="H32" s="3">
        <f t="shared" si="4"/>
        <v>13.36746667</v>
      </c>
      <c r="I32" s="3">
        <f t="shared" si="4"/>
        <v>22.76966667</v>
      </c>
      <c r="J32" s="3">
        <f t="shared" si="4"/>
        <v>9.44963207</v>
      </c>
      <c r="K32" s="3">
        <f t="shared" si="4"/>
        <v>0.369353351</v>
      </c>
    </row>
    <row r="33" ht="15.75" customHeight="1">
      <c r="A33" s="2" t="s">
        <v>16</v>
      </c>
      <c r="B33" s="3">
        <f t="shared" ref="B33:K33" si="5">STDEV(B2:B31)</f>
        <v>62.13820503</v>
      </c>
      <c r="C33" s="3">
        <f t="shared" si="5"/>
        <v>1.594025217</v>
      </c>
      <c r="D33" s="3">
        <f t="shared" si="5"/>
        <v>1.490109431</v>
      </c>
      <c r="E33" s="3">
        <f t="shared" si="5"/>
        <v>1.787402719</v>
      </c>
      <c r="F33" s="3">
        <f t="shared" si="5"/>
        <v>0.4465612481</v>
      </c>
      <c r="G33" s="3">
        <f t="shared" si="5"/>
        <v>0.7669828364</v>
      </c>
      <c r="H33" s="3">
        <f t="shared" si="5"/>
        <v>3.376457997</v>
      </c>
      <c r="I33" s="3">
        <f t="shared" si="5"/>
        <v>2.702771966</v>
      </c>
      <c r="J33" s="3">
        <f t="shared" si="5"/>
        <v>2.134664645</v>
      </c>
      <c r="K33" s="3">
        <f t="shared" si="5"/>
        <v>0.06636656219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100.689</v>
      </c>
      <c r="C2" s="3">
        <v>5.099</v>
      </c>
      <c r="D2" s="3">
        <v>11.197</v>
      </c>
      <c r="E2" s="3">
        <v>5.154</v>
      </c>
      <c r="F2" s="3">
        <v>0.847</v>
      </c>
      <c r="G2" s="3">
        <v>4.181</v>
      </c>
      <c r="H2" s="3">
        <v>3.171</v>
      </c>
      <c r="I2" s="3">
        <f t="shared" ref="I2:I15" si="1">C2+D2</f>
        <v>16.296</v>
      </c>
      <c r="J2" s="3">
        <f t="shared" ref="J2:J15" si="2">B2/I2</f>
        <v>6.178755523</v>
      </c>
      <c r="K2" s="3">
        <f t="shared" ref="K2:K15" si="3">F2/G2</f>
        <v>0.2025831141</v>
      </c>
    </row>
    <row r="3">
      <c r="A3" s="2">
        <v>2.0</v>
      </c>
      <c r="B3" s="3">
        <v>93.207</v>
      </c>
      <c r="C3" s="3">
        <v>4.897</v>
      </c>
      <c r="D3" s="3">
        <v>11.375</v>
      </c>
      <c r="E3" s="3">
        <v>5.558</v>
      </c>
      <c r="F3" s="3">
        <v>0.625</v>
      </c>
      <c r="G3" s="3">
        <v>3.979</v>
      </c>
      <c r="H3" s="3">
        <v>2.275</v>
      </c>
      <c r="I3" s="3">
        <f t="shared" si="1"/>
        <v>16.272</v>
      </c>
      <c r="J3" s="3">
        <f t="shared" si="2"/>
        <v>5.728060472</v>
      </c>
      <c r="K3" s="3">
        <f t="shared" si="3"/>
        <v>0.1570746419</v>
      </c>
    </row>
    <row r="4">
      <c r="A4" s="2">
        <v>3.0</v>
      </c>
      <c r="B4" s="3">
        <v>93.283</v>
      </c>
      <c r="C4" s="3">
        <v>5.217</v>
      </c>
      <c r="D4" s="3">
        <v>11.049</v>
      </c>
      <c r="E4" s="3">
        <v>4.726</v>
      </c>
      <c r="F4" s="3">
        <v>0.606</v>
      </c>
      <c r="G4" s="3">
        <v>3.519</v>
      </c>
      <c r="H4" s="3">
        <v>2.27</v>
      </c>
      <c r="I4" s="3">
        <f t="shared" si="1"/>
        <v>16.266</v>
      </c>
      <c r="J4" s="3">
        <f t="shared" si="2"/>
        <v>5.73484569</v>
      </c>
      <c r="K4" s="3">
        <f t="shared" si="3"/>
        <v>0.1722080136</v>
      </c>
    </row>
    <row r="5">
      <c r="A5" s="2">
        <v>4.0</v>
      </c>
      <c r="B5" s="3">
        <v>96.561</v>
      </c>
      <c r="C5" s="3">
        <v>5.346</v>
      </c>
      <c r="D5" s="3">
        <v>11.107</v>
      </c>
      <c r="E5" s="3">
        <v>4.499</v>
      </c>
      <c r="F5" s="3">
        <v>0.602</v>
      </c>
      <c r="G5" s="3">
        <v>3.774</v>
      </c>
      <c r="H5" s="3">
        <v>2.462</v>
      </c>
      <c r="I5" s="3">
        <f t="shared" si="1"/>
        <v>16.453</v>
      </c>
      <c r="J5" s="3">
        <f t="shared" si="2"/>
        <v>5.868899289</v>
      </c>
      <c r="K5" s="3">
        <f t="shared" si="3"/>
        <v>0.1595124536</v>
      </c>
    </row>
    <row r="6">
      <c r="A6" s="2">
        <v>5.0</v>
      </c>
      <c r="B6" s="3">
        <v>101.505</v>
      </c>
      <c r="C6" s="3">
        <v>6.231</v>
      </c>
      <c r="D6" s="3">
        <v>11.34</v>
      </c>
      <c r="E6" s="3">
        <v>5.917</v>
      </c>
      <c r="F6" s="3">
        <v>1.002</v>
      </c>
      <c r="G6" s="3">
        <v>3.904</v>
      </c>
      <c r="H6" s="3">
        <v>3.24</v>
      </c>
      <c r="I6" s="3">
        <f t="shared" si="1"/>
        <v>17.571</v>
      </c>
      <c r="J6" s="3">
        <f t="shared" si="2"/>
        <v>5.776848216</v>
      </c>
      <c r="K6" s="3">
        <f t="shared" si="3"/>
        <v>0.2566598361</v>
      </c>
    </row>
    <row r="7">
      <c r="A7" s="2">
        <v>6.0</v>
      </c>
      <c r="B7" s="3">
        <v>96.149</v>
      </c>
      <c r="C7" s="3">
        <v>5.49</v>
      </c>
      <c r="D7" s="3">
        <v>9.811</v>
      </c>
      <c r="E7" s="3">
        <v>5.278</v>
      </c>
      <c r="F7" s="3">
        <v>0.784</v>
      </c>
      <c r="G7" s="3">
        <v>3.612</v>
      </c>
      <c r="H7" s="3">
        <v>2.717</v>
      </c>
      <c r="I7" s="3">
        <f t="shared" si="1"/>
        <v>15.301</v>
      </c>
      <c r="J7" s="3">
        <f t="shared" si="2"/>
        <v>6.283837658</v>
      </c>
      <c r="K7" s="3">
        <f t="shared" si="3"/>
        <v>0.2170542636</v>
      </c>
    </row>
    <row r="8">
      <c r="A8" s="2">
        <v>7.0</v>
      </c>
      <c r="B8" s="3">
        <v>96.606</v>
      </c>
      <c r="C8" s="3">
        <v>5.26</v>
      </c>
      <c r="D8" s="3">
        <v>10.662</v>
      </c>
      <c r="E8" s="3">
        <v>5.057</v>
      </c>
      <c r="F8" s="3">
        <v>1.108</v>
      </c>
      <c r="G8" s="3">
        <v>4.228</v>
      </c>
      <c r="H8" s="3">
        <v>3.117</v>
      </c>
      <c r="I8" s="3">
        <f t="shared" si="1"/>
        <v>15.922</v>
      </c>
      <c r="J8" s="3">
        <f t="shared" si="2"/>
        <v>6.067453837</v>
      </c>
      <c r="K8" s="3">
        <f t="shared" si="3"/>
        <v>0.2620624409</v>
      </c>
    </row>
    <row r="9">
      <c r="A9" s="2">
        <v>8.0</v>
      </c>
      <c r="B9" s="3">
        <v>92.755</v>
      </c>
      <c r="C9" s="3">
        <v>4.924</v>
      </c>
      <c r="D9" s="3">
        <v>10.494</v>
      </c>
      <c r="E9" s="3">
        <v>4.154</v>
      </c>
      <c r="F9" s="3">
        <v>0.728</v>
      </c>
      <c r="G9" s="3">
        <v>3.911</v>
      </c>
      <c r="H9" s="3">
        <v>2.617</v>
      </c>
      <c r="I9" s="3">
        <f t="shared" si="1"/>
        <v>15.418</v>
      </c>
      <c r="J9" s="3">
        <f t="shared" si="2"/>
        <v>6.016020236</v>
      </c>
      <c r="K9" s="3">
        <f t="shared" si="3"/>
        <v>0.1861416518</v>
      </c>
    </row>
    <row r="10">
      <c r="A10" s="2">
        <v>9.0</v>
      </c>
      <c r="B10" s="3">
        <v>105.16</v>
      </c>
      <c r="C10" s="3">
        <v>5.846</v>
      </c>
      <c r="D10" s="3">
        <v>11.368</v>
      </c>
      <c r="E10" s="3">
        <v>5.113</v>
      </c>
      <c r="F10" s="3">
        <v>0.828</v>
      </c>
      <c r="G10" s="3">
        <v>4.011</v>
      </c>
      <c r="H10" s="3">
        <v>2.948</v>
      </c>
      <c r="I10" s="3">
        <f t="shared" si="1"/>
        <v>17.214</v>
      </c>
      <c r="J10" s="3">
        <f t="shared" si="2"/>
        <v>6.108981062</v>
      </c>
      <c r="K10" s="3">
        <f t="shared" si="3"/>
        <v>0.2064323111</v>
      </c>
    </row>
    <row r="11">
      <c r="A11" s="2">
        <v>10.0</v>
      </c>
      <c r="B11" s="3">
        <v>84.552</v>
      </c>
      <c r="C11" s="3">
        <v>5.41</v>
      </c>
      <c r="D11" s="3">
        <v>9.865</v>
      </c>
      <c r="E11" s="3">
        <v>4.642</v>
      </c>
      <c r="F11" s="3">
        <v>0.855</v>
      </c>
      <c r="G11" s="3">
        <v>3.865</v>
      </c>
      <c r="H11" s="3">
        <v>2.771</v>
      </c>
      <c r="I11" s="3">
        <f t="shared" si="1"/>
        <v>15.275</v>
      </c>
      <c r="J11" s="3">
        <f t="shared" si="2"/>
        <v>5.535319149</v>
      </c>
      <c r="K11" s="3">
        <f t="shared" si="3"/>
        <v>0.2212160414</v>
      </c>
    </row>
    <row r="12">
      <c r="A12" s="2">
        <v>11.0</v>
      </c>
      <c r="B12" s="3">
        <v>96.142</v>
      </c>
      <c r="C12" s="3">
        <v>5.771</v>
      </c>
      <c r="D12" s="3">
        <v>11.012</v>
      </c>
      <c r="E12" s="3">
        <v>5.41</v>
      </c>
      <c r="F12" s="3">
        <v>0.649</v>
      </c>
      <c r="G12" s="3">
        <v>3.617</v>
      </c>
      <c r="H12" s="3">
        <v>2.303</v>
      </c>
      <c r="I12" s="3">
        <f t="shared" si="1"/>
        <v>16.783</v>
      </c>
      <c r="J12" s="3">
        <f t="shared" si="2"/>
        <v>5.728534827</v>
      </c>
      <c r="K12" s="3">
        <f t="shared" si="3"/>
        <v>0.1794304672</v>
      </c>
    </row>
    <row r="13">
      <c r="A13" s="2">
        <v>12.0</v>
      </c>
      <c r="B13" s="3">
        <v>94.563</v>
      </c>
      <c r="C13" s="3">
        <v>5.21</v>
      </c>
      <c r="D13" s="3">
        <v>9.867</v>
      </c>
      <c r="E13" s="3">
        <v>4.268</v>
      </c>
      <c r="F13" s="3">
        <v>0.678</v>
      </c>
      <c r="G13" s="3">
        <v>4.081</v>
      </c>
      <c r="H13" s="3">
        <v>3.222</v>
      </c>
      <c r="I13" s="3">
        <f t="shared" si="1"/>
        <v>15.077</v>
      </c>
      <c r="J13" s="3">
        <f t="shared" si="2"/>
        <v>6.272003714</v>
      </c>
      <c r="K13" s="3">
        <f t="shared" si="3"/>
        <v>0.166135751</v>
      </c>
    </row>
    <row r="14">
      <c r="A14" s="2">
        <v>13.0</v>
      </c>
      <c r="B14" s="3">
        <v>92.666</v>
      </c>
      <c r="C14" s="3">
        <v>5.192</v>
      </c>
      <c r="D14" s="3">
        <v>10.925</v>
      </c>
      <c r="E14" s="3">
        <v>5.342</v>
      </c>
      <c r="F14" s="3">
        <v>0.595</v>
      </c>
      <c r="G14" s="3">
        <v>3.551</v>
      </c>
      <c r="H14" s="3">
        <v>1.962</v>
      </c>
      <c r="I14" s="3">
        <f t="shared" si="1"/>
        <v>16.117</v>
      </c>
      <c r="J14" s="3">
        <f t="shared" si="2"/>
        <v>5.749581188</v>
      </c>
      <c r="K14" s="3">
        <f t="shared" si="3"/>
        <v>0.1675584342</v>
      </c>
    </row>
    <row r="15">
      <c r="A15" s="2">
        <v>14.0</v>
      </c>
      <c r="B15" s="3">
        <v>94.22</v>
      </c>
      <c r="C15" s="3">
        <v>6.666</v>
      </c>
      <c r="D15" s="3">
        <v>11.45</v>
      </c>
      <c r="E15" s="3">
        <v>4.542</v>
      </c>
      <c r="F15" s="3">
        <v>0.989</v>
      </c>
      <c r="G15" s="3">
        <v>4.463</v>
      </c>
      <c r="H15" s="3">
        <v>3.294</v>
      </c>
      <c r="I15" s="3">
        <f t="shared" si="1"/>
        <v>18.116</v>
      </c>
      <c r="J15" s="3">
        <f t="shared" si="2"/>
        <v>5.200927357</v>
      </c>
      <c r="K15" s="3">
        <f t="shared" si="3"/>
        <v>0.2215998207</v>
      </c>
    </row>
    <row r="16">
      <c r="A16" s="2" t="s">
        <v>13</v>
      </c>
      <c r="B16" s="3">
        <f t="shared" ref="B16:K16" si="4">AVERAGE(B2:B15)</f>
        <v>95.57557143</v>
      </c>
      <c r="C16" s="3">
        <f t="shared" si="4"/>
        <v>5.4685</v>
      </c>
      <c r="D16" s="3">
        <f t="shared" si="4"/>
        <v>10.823</v>
      </c>
      <c r="E16" s="3">
        <f t="shared" si="4"/>
        <v>4.975714286</v>
      </c>
      <c r="F16" s="3">
        <f t="shared" si="4"/>
        <v>0.7782857143</v>
      </c>
      <c r="G16" s="3">
        <f t="shared" si="4"/>
        <v>3.906857143</v>
      </c>
      <c r="H16" s="3">
        <f t="shared" si="4"/>
        <v>2.740642857</v>
      </c>
      <c r="I16" s="3">
        <f t="shared" si="4"/>
        <v>16.2915</v>
      </c>
      <c r="J16" s="3">
        <f t="shared" si="4"/>
        <v>5.875004873</v>
      </c>
      <c r="K16" s="3">
        <f t="shared" si="4"/>
        <v>0.1982620887</v>
      </c>
    </row>
    <row r="17">
      <c r="A17" s="2" t="s">
        <v>17</v>
      </c>
      <c r="B17" s="3">
        <f t="shared" ref="B17:K17" si="5">STDEV(B2:B15)</f>
        <v>4.863666751</v>
      </c>
      <c r="C17" s="3">
        <f t="shared" si="5"/>
        <v>0.5021444398</v>
      </c>
      <c r="D17" s="3">
        <f t="shared" si="5"/>
        <v>0.5928993948</v>
      </c>
      <c r="E17" s="3">
        <f t="shared" si="5"/>
        <v>0.5160219776</v>
      </c>
      <c r="F17" s="3">
        <f t="shared" si="5"/>
        <v>0.1671988354</v>
      </c>
      <c r="G17" s="3">
        <f t="shared" si="5"/>
        <v>0.2775457986</v>
      </c>
      <c r="H17" s="3">
        <f t="shared" si="5"/>
        <v>0.4374461914</v>
      </c>
      <c r="I17" s="3">
        <f t="shared" si="5"/>
        <v>0.8989304542</v>
      </c>
      <c r="J17" s="3">
        <f t="shared" si="5"/>
        <v>0.3021136187</v>
      </c>
      <c r="K17" s="3">
        <f t="shared" si="5"/>
        <v>0.03435559623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219.308</v>
      </c>
      <c r="C2" s="3">
        <v>6.132</v>
      </c>
      <c r="D2" s="3">
        <v>10.566</v>
      </c>
      <c r="E2" s="3">
        <v>5.71</v>
      </c>
      <c r="F2" s="3">
        <v>1.863</v>
      </c>
      <c r="G2" s="3">
        <v>4.136</v>
      </c>
      <c r="H2" s="3">
        <v>6.91</v>
      </c>
      <c r="I2" s="3">
        <f t="shared" ref="I2:I31" si="1">C2+D2</f>
        <v>16.698</v>
      </c>
      <c r="J2" s="3">
        <f t="shared" ref="J2:J31" si="2">B2/I2</f>
        <v>13.13378848</v>
      </c>
      <c r="K2" s="3">
        <f t="shared" ref="K2:K31" si="3">F2/G2</f>
        <v>0.4504352031</v>
      </c>
    </row>
    <row r="3">
      <c r="A3" s="2">
        <v>2.0</v>
      </c>
      <c r="B3" s="3">
        <v>245.975</v>
      </c>
      <c r="C3" s="3">
        <v>7.093</v>
      </c>
      <c r="D3" s="3">
        <v>9.286</v>
      </c>
      <c r="E3" s="3">
        <v>7.844</v>
      </c>
      <c r="F3" s="3">
        <v>1.883</v>
      </c>
      <c r="G3" s="3">
        <v>4.073</v>
      </c>
      <c r="H3" s="3">
        <v>6.539</v>
      </c>
      <c r="I3" s="3">
        <f t="shared" si="1"/>
        <v>16.379</v>
      </c>
      <c r="J3" s="3">
        <f t="shared" si="2"/>
        <v>15.0177056</v>
      </c>
      <c r="K3" s="3">
        <f t="shared" si="3"/>
        <v>0.4623127916</v>
      </c>
    </row>
    <row r="4">
      <c r="A4" s="2">
        <v>3.0</v>
      </c>
      <c r="B4" s="3">
        <v>207.392</v>
      </c>
      <c r="C4" s="3">
        <v>6.205</v>
      </c>
      <c r="D4" s="3">
        <v>9.775</v>
      </c>
      <c r="E4" s="3">
        <v>5.442</v>
      </c>
      <c r="F4" s="3">
        <v>1.557</v>
      </c>
      <c r="G4" s="3">
        <v>4.449</v>
      </c>
      <c r="H4" s="3">
        <v>5.756</v>
      </c>
      <c r="I4" s="3">
        <f t="shared" si="1"/>
        <v>15.98</v>
      </c>
      <c r="J4" s="3">
        <f t="shared" si="2"/>
        <v>12.97822278</v>
      </c>
      <c r="K4" s="3">
        <f t="shared" si="3"/>
        <v>0.3499662846</v>
      </c>
    </row>
    <row r="5">
      <c r="A5" s="2">
        <v>4.0</v>
      </c>
      <c r="B5" s="3">
        <v>193.164</v>
      </c>
      <c r="C5" s="3">
        <v>6.48</v>
      </c>
      <c r="D5" s="3">
        <v>9.486</v>
      </c>
      <c r="E5" s="3">
        <v>7.437</v>
      </c>
      <c r="F5" s="3">
        <v>1.84</v>
      </c>
      <c r="G5" s="3">
        <v>4.049</v>
      </c>
      <c r="H5" s="3">
        <v>5.295</v>
      </c>
      <c r="I5" s="3">
        <f t="shared" si="1"/>
        <v>15.966</v>
      </c>
      <c r="J5" s="3">
        <f t="shared" si="2"/>
        <v>12.09845923</v>
      </c>
      <c r="K5" s="3">
        <f t="shared" si="3"/>
        <v>0.4544331934</v>
      </c>
    </row>
    <row r="6">
      <c r="A6" s="2">
        <v>5.0</v>
      </c>
      <c r="B6" s="3">
        <v>187.256</v>
      </c>
      <c r="C6" s="3">
        <v>5.802</v>
      </c>
      <c r="D6" s="3">
        <v>10.628</v>
      </c>
      <c r="E6" s="3">
        <v>5.121</v>
      </c>
      <c r="F6" s="3">
        <v>1.992</v>
      </c>
      <c r="G6" s="3">
        <v>3.988</v>
      </c>
      <c r="H6" s="3">
        <v>6.294</v>
      </c>
      <c r="I6" s="3">
        <f t="shared" si="1"/>
        <v>16.43</v>
      </c>
      <c r="J6" s="3">
        <f t="shared" si="2"/>
        <v>11.39720024</v>
      </c>
      <c r="K6" s="3">
        <f t="shared" si="3"/>
        <v>0.4994984955</v>
      </c>
    </row>
    <row r="7">
      <c r="A7" s="2">
        <v>6.0</v>
      </c>
      <c r="B7" s="3">
        <v>205.795</v>
      </c>
      <c r="C7" s="3">
        <v>5.58</v>
      </c>
      <c r="D7" s="3">
        <v>8.438</v>
      </c>
      <c r="E7" s="3">
        <v>5.077</v>
      </c>
      <c r="F7" s="3">
        <v>1.729</v>
      </c>
      <c r="G7" s="3">
        <v>3.876</v>
      </c>
      <c r="H7" s="3">
        <v>5.538</v>
      </c>
      <c r="I7" s="3">
        <f t="shared" si="1"/>
        <v>14.018</v>
      </c>
      <c r="J7" s="3">
        <f t="shared" si="2"/>
        <v>14.68076758</v>
      </c>
      <c r="K7" s="3">
        <f t="shared" si="3"/>
        <v>0.4460784314</v>
      </c>
    </row>
    <row r="8">
      <c r="A8" s="2">
        <v>7.0</v>
      </c>
      <c r="B8" s="3">
        <v>203.757</v>
      </c>
      <c r="C8" s="3">
        <v>6.473</v>
      </c>
      <c r="D8" s="3">
        <v>9.426</v>
      </c>
      <c r="E8" s="3">
        <v>6.35</v>
      </c>
      <c r="F8" s="3">
        <v>1.924</v>
      </c>
      <c r="G8" s="3">
        <v>4.044</v>
      </c>
      <c r="H8" s="3">
        <v>5.975</v>
      </c>
      <c r="I8" s="3">
        <f t="shared" si="1"/>
        <v>15.899</v>
      </c>
      <c r="J8" s="3">
        <f t="shared" si="2"/>
        <v>12.81571168</v>
      </c>
      <c r="K8" s="3">
        <f t="shared" si="3"/>
        <v>0.4757665678</v>
      </c>
    </row>
    <row r="9">
      <c r="A9" s="2">
        <v>8.0</v>
      </c>
      <c r="B9" s="3">
        <v>170.125</v>
      </c>
      <c r="C9" s="3">
        <v>5.268</v>
      </c>
      <c r="D9" s="3">
        <v>9.688</v>
      </c>
      <c r="E9" s="3">
        <v>6.902</v>
      </c>
      <c r="F9" s="3">
        <v>1.603</v>
      </c>
      <c r="G9" s="3">
        <v>4.083</v>
      </c>
      <c r="H9" s="3">
        <v>6.183</v>
      </c>
      <c r="I9" s="3">
        <f t="shared" si="1"/>
        <v>14.956</v>
      </c>
      <c r="J9" s="3">
        <f t="shared" si="2"/>
        <v>11.37503343</v>
      </c>
      <c r="K9" s="3">
        <f t="shared" si="3"/>
        <v>0.3926034778</v>
      </c>
    </row>
    <row r="10">
      <c r="A10" s="2">
        <v>9.0</v>
      </c>
      <c r="B10" s="3">
        <v>161.997</v>
      </c>
      <c r="C10" s="3">
        <v>6.04</v>
      </c>
      <c r="D10" s="3">
        <v>8.384</v>
      </c>
      <c r="E10" s="3">
        <v>6.733</v>
      </c>
      <c r="F10" s="3">
        <v>1.809</v>
      </c>
      <c r="G10" s="3">
        <v>3.617</v>
      </c>
      <c r="H10" s="3">
        <v>4.68</v>
      </c>
      <c r="I10" s="3">
        <f t="shared" si="1"/>
        <v>14.424</v>
      </c>
      <c r="J10" s="3">
        <f t="shared" si="2"/>
        <v>11.23107321</v>
      </c>
      <c r="K10" s="3">
        <f t="shared" si="3"/>
        <v>0.5001382361</v>
      </c>
    </row>
    <row r="11">
      <c r="A11" s="2">
        <v>10.0</v>
      </c>
      <c r="B11" s="3">
        <v>210.144</v>
      </c>
      <c r="C11" s="3">
        <v>6.621</v>
      </c>
      <c r="D11" s="3">
        <v>9.352</v>
      </c>
      <c r="E11" s="3">
        <v>5.66</v>
      </c>
      <c r="F11" s="3">
        <v>2.053</v>
      </c>
      <c r="G11" s="3">
        <v>4.243</v>
      </c>
      <c r="H11" s="3">
        <v>6.955</v>
      </c>
      <c r="I11" s="3">
        <f t="shared" si="1"/>
        <v>15.973</v>
      </c>
      <c r="J11" s="3">
        <f t="shared" si="2"/>
        <v>13.15620109</v>
      </c>
      <c r="K11" s="3">
        <f t="shared" si="3"/>
        <v>0.4838557624</v>
      </c>
    </row>
    <row r="12">
      <c r="A12" s="2">
        <v>11.0</v>
      </c>
      <c r="B12" s="3">
        <v>194.58</v>
      </c>
      <c r="C12" s="3">
        <v>6.334</v>
      </c>
      <c r="D12" s="3">
        <v>9.878</v>
      </c>
      <c r="E12" s="3">
        <v>5.619</v>
      </c>
      <c r="F12" s="3">
        <v>1.77</v>
      </c>
      <c r="G12" s="3">
        <v>3.927</v>
      </c>
      <c r="H12" s="3">
        <v>5.428</v>
      </c>
      <c r="I12" s="3">
        <f t="shared" si="1"/>
        <v>16.212</v>
      </c>
      <c r="J12" s="3">
        <f t="shared" si="2"/>
        <v>12.00222058</v>
      </c>
      <c r="K12" s="3">
        <f t="shared" si="3"/>
        <v>0.4507257448</v>
      </c>
    </row>
    <row r="13">
      <c r="A13" s="2">
        <v>12.0</v>
      </c>
      <c r="B13" s="3">
        <v>219.025</v>
      </c>
      <c r="C13" s="3">
        <v>7.131</v>
      </c>
      <c r="D13" s="3">
        <v>9.418</v>
      </c>
      <c r="E13" s="3">
        <v>7.795</v>
      </c>
      <c r="F13" s="3">
        <v>2.101</v>
      </c>
      <c r="G13" s="3">
        <v>4.492</v>
      </c>
      <c r="H13" s="3">
        <v>6.916</v>
      </c>
      <c r="I13" s="3">
        <f t="shared" si="1"/>
        <v>16.549</v>
      </c>
      <c r="J13" s="3">
        <f t="shared" si="2"/>
        <v>13.23493867</v>
      </c>
      <c r="K13" s="3">
        <f t="shared" si="3"/>
        <v>0.4677203918</v>
      </c>
    </row>
    <row r="14">
      <c r="A14" s="2">
        <v>13.0</v>
      </c>
      <c r="B14" s="3">
        <v>205.971</v>
      </c>
      <c r="C14" s="3">
        <v>6.188</v>
      </c>
      <c r="D14" s="3">
        <v>9.579</v>
      </c>
      <c r="E14" s="3">
        <v>5.954</v>
      </c>
      <c r="F14" s="3">
        <v>1.688</v>
      </c>
      <c r="G14" s="3">
        <v>3.975</v>
      </c>
      <c r="H14" s="3">
        <v>6.071</v>
      </c>
      <c r="I14" s="3">
        <f t="shared" si="1"/>
        <v>15.767</v>
      </c>
      <c r="J14" s="3">
        <f t="shared" si="2"/>
        <v>13.06342361</v>
      </c>
      <c r="K14" s="3">
        <f t="shared" si="3"/>
        <v>0.4246540881</v>
      </c>
    </row>
    <row r="15">
      <c r="A15" s="2">
        <v>14.0</v>
      </c>
      <c r="B15" s="3">
        <v>208.369</v>
      </c>
      <c r="C15" s="3">
        <v>6.628</v>
      </c>
      <c r="D15" s="3">
        <v>8.724</v>
      </c>
      <c r="E15" s="3">
        <v>7.439</v>
      </c>
      <c r="F15" s="3">
        <v>1.734</v>
      </c>
      <c r="G15" s="3">
        <v>4.018</v>
      </c>
      <c r="H15" s="3">
        <v>4.677</v>
      </c>
      <c r="I15" s="3">
        <f t="shared" si="1"/>
        <v>15.352</v>
      </c>
      <c r="J15" s="3">
        <f t="shared" si="2"/>
        <v>13.57275925</v>
      </c>
      <c r="K15" s="3">
        <f t="shared" si="3"/>
        <v>0.431557989</v>
      </c>
    </row>
    <row r="16">
      <c r="A16" s="2">
        <v>15.0</v>
      </c>
      <c r="B16" s="3">
        <v>224.55</v>
      </c>
      <c r="C16" s="3">
        <v>6.86</v>
      </c>
      <c r="D16" s="3">
        <v>10.118</v>
      </c>
      <c r="E16" s="3">
        <v>7.62</v>
      </c>
      <c r="F16" s="3">
        <v>2.037</v>
      </c>
      <c r="G16" s="3">
        <v>4.5</v>
      </c>
      <c r="H16" s="3">
        <v>6.496</v>
      </c>
      <c r="I16" s="3">
        <f t="shared" si="1"/>
        <v>16.978</v>
      </c>
      <c r="J16" s="3">
        <f t="shared" si="2"/>
        <v>13.22593945</v>
      </c>
      <c r="K16" s="3">
        <f t="shared" si="3"/>
        <v>0.4526666667</v>
      </c>
    </row>
    <row r="17">
      <c r="A17" s="2">
        <v>16.0</v>
      </c>
      <c r="B17" s="3">
        <v>207.238</v>
      </c>
      <c r="C17" s="3">
        <v>6.822</v>
      </c>
      <c r="D17" s="3">
        <v>9.139</v>
      </c>
      <c r="E17" s="3">
        <v>6.135</v>
      </c>
      <c r="F17" s="3">
        <v>1.973</v>
      </c>
      <c r="G17" s="3">
        <v>4.326</v>
      </c>
      <c r="H17" s="3">
        <v>5.47</v>
      </c>
      <c r="I17" s="3">
        <f t="shared" si="1"/>
        <v>15.961</v>
      </c>
      <c r="J17" s="3">
        <f t="shared" si="2"/>
        <v>12.98402356</v>
      </c>
      <c r="K17" s="3">
        <f t="shared" si="3"/>
        <v>0.4560795192</v>
      </c>
    </row>
    <row r="18">
      <c r="A18" s="2">
        <v>17.0</v>
      </c>
      <c r="B18" s="3">
        <v>202.487</v>
      </c>
      <c r="C18" s="3">
        <v>6.564</v>
      </c>
      <c r="D18" s="3">
        <v>9.001</v>
      </c>
      <c r="E18" s="3">
        <v>6.45</v>
      </c>
      <c r="F18" s="3">
        <v>1.938</v>
      </c>
      <c r="G18" s="3">
        <v>4.4</v>
      </c>
      <c r="H18" s="3">
        <v>6.543</v>
      </c>
      <c r="I18" s="3">
        <f t="shared" si="1"/>
        <v>15.565</v>
      </c>
      <c r="J18" s="3">
        <f t="shared" si="2"/>
        <v>13.00912303</v>
      </c>
      <c r="K18" s="3">
        <f t="shared" si="3"/>
        <v>0.4404545455</v>
      </c>
    </row>
    <row r="19">
      <c r="A19" s="2">
        <v>18.0</v>
      </c>
      <c r="B19" s="3">
        <v>204.644</v>
      </c>
      <c r="C19" s="3">
        <v>6.262</v>
      </c>
      <c r="D19" s="3">
        <v>9.754</v>
      </c>
      <c r="E19" s="3">
        <v>5.808</v>
      </c>
      <c r="F19" s="3">
        <v>1.714</v>
      </c>
      <c r="G19" s="3">
        <v>4.189</v>
      </c>
      <c r="H19" s="3">
        <v>6.009</v>
      </c>
      <c r="I19" s="3">
        <f t="shared" si="1"/>
        <v>16.016</v>
      </c>
      <c r="J19" s="3">
        <f t="shared" si="2"/>
        <v>12.77747253</v>
      </c>
      <c r="K19" s="3">
        <f t="shared" si="3"/>
        <v>0.4091668656</v>
      </c>
    </row>
    <row r="20">
      <c r="A20" s="2">
        <v>19.0</v>
      </c>
      <c r="B20" s="3">
        <v>162.061</v>
      </c>
      <c r="C20" s="3">
        <v>5.669</v>
      </c>
      <c r="D20" s="3">
        <v>8.136</v>
      </c>
      <c r="E20" s="3">
        <v>5.232</v>
      </c>
      <c r="F20" s="3">
        <v>1.825</v>
      </c>
      <c r="G20" s="3">
        <v>3.632</v>
      </c>
      <c r="H20" s="3">
        <v>5.125</v>
      </c>
      <c r="I20" s="3">
        <f t="shared" si="1"/>
        <v>13.805</v>
      </c>
      <c r="J20" s="3">
        <f t="shared" si="2"/>
        <v>11.73929736</v>
      </c>
      <c r="K20" s="3">
        <f t="shared" si="3"/>
        <v>0.5024779736</v>
      </c>
    </row>
    <row r="21" ht="15.75" customHeight="1">
      <c r="A21" s="2">
        <v>20.0</v>
      </c>
      <c r="B21" s="3">
        <v>238.328</v>
      </c>
      <c r="C21" s="3">
        <v>6.469</v>
      </c>
      <c r="D21" s="3">
        <v>9.498</v>
      </c>
      <c r="E21" s="3">
        <v>5.758</v>
      </c>
      <c r="F21" s="3">
        <v>1.793</v>
      </c>
      <c r="G21" s="3">
        <v>4.268</v>
      </c>
      <c r="H21" s="3">
        <v>6.755</v>
      </c>
      <c r="I21" s="3">
        <f t="shared" si="1"/>
        <v>15.967</v>
      </c>
      <c r="J21" s="3">
        <f t="shared" si="2"/>
        <v>14.92628546</v>
      </c>
      <c r="K21" s="3">
        <f t="shared" si="3"/>
        <v>0.4201030928</v>
      </c>
    </row>
    <row r="22" ht="15.75" customHeight="1">
      <c r="A22" s="2">
        <v>21.0</v>
      </c>
      <c r="B22" s="3">
        <v>238.599</v>
      </c>
      <c r="C22" s="3">
        <v>6.201</v>
      </c>
      <c r="D22" s="3">
        <v>9.626</v>
      </c>
      <c r="E22" s="3">
        <v>7.244</v>
      </c>
      <c r="F22" s="3">
        <v>2.063</v>
      </c>
      <c r="G22" s="3">
        <v>4.551</v>
      </c>
      <c r="H22" s="3">
        <v>7.013</v>
      </c>
      <c r="I22" s="3">
        <f t="shared" si="1"/>
        <v>15.827</v>
      </c>
      <c r="J22" s="3">
        <f t="shared" si="2"/>
        <v>15.0754407</v>
      </c>
      <c r="K22" s="3">
        <f t="shared" si="3"/>
        <v>0.4533069655</v>
      </c>
    </row>
    <row r="23" ht="15.75" customHeight="1">
      <c r="A23" s="2">
        <v>22.0</v>
      </c>
      <c r="B23" s="3">
        <v>214.133</v>
      </c>
      <c r="C23" s="3">
        <v>6.799</v>
      </c>
      <c r="D23" s="3">
        <v>9.304</v>
      </c>
      <c r="E23" s="3">
        <v>8.113</v>
      </c>
      <c r="F23" s="3">
        <v>1.869</v>
      </c>
      <c r="G23" s="3">
        <v>4.293</v>
      </c>
      <c r="H23" s="3">
        <v>6.217</v>
      </c>
      <c r="I23" s="3">
        <f t="shared" si="1"/>
        <v>16.103</v>
      </c>
      <c r="J23" s="3">
        <f t="shared" si="2"/>
        <v>13.2977085</v>
      </c>
      <c r="K23" s="3">
        <f t="shared" si="3"/>
        <v>0.4353598882</v>
      </c>
    </row>
    <row r="24" ht="15.75" customHeight="1">
      <c r="A24" s="2">
        <v>23.0</v>
      </c>
      <c r="B24" s="3">
        <v>262.969</v>
      </c>
      <c r="C24" s="3">
        <v>6.961</v>
      </c>
      <c r="D24" s="3">
        <v>9.801</v>
      </c>
      <c r="E24" s="3">
        <v>8.048</v>
      </c>
      <c r="F24" s="3">
        <v>2.236</v>
      </c>
      <c r="G24" s="3">
        <v>4.868</v>
      </c>
      <c r="H24" s="3">
        <v>8.134</v>
      </c>
      <c r="I24" s="3">
        <f t="shared" si="1"/>
        <v>16.762</v>
      </c>
      <c r="J24" s="3">
        <f t="shared" si="2"/>
        <v>15.68840234</v>
      </c>
      <c r="K24" s="3">
        <f t="shared" si="3"/>
        <v>0.459326212</v>
      </c>
    </row>
    <row r="25" ht="15.75" customHeight="1">
      <c r="A25" s="2">
        <v>24.0</v>
      </c>
      <c r="B25" s="3">
        <v>203.124</v>
      </c>
      <c r="C25" s="3">
        <v>7.004</v>
      </c>
      <c r="D25" s="3">
        <v>10.048</v>
      </c>
      <c r="E25" s="3">
        <v>8.107</v>
      </c>
      <c r="F25" s="3">
        <v>1.602</v>
      </c>
      <c r="G25" s="3">
        <v>4.267</v>
      </c>
      <c r="H25" s="3">
        <v>6.772</v>
      </c>
      <c r="I25" s="3">
        <f t="shared" si="1"/>
        <v>17.052</v>
      </c>
      <c r="J25" s="3">
        <f t="shared" si="2"/>
        <v>11.91203378</v>
      </c>
      <c r="K25" s="3">
        <f t="shared" si="3"/>
        <v>0.3754394188</v>
      </c>
    </row>
    <row r="26" ht="15.75" customHeight="1">
      <c r="A26" s="2">
        <v>25.0</v>
      </c>
      <c r="B26" s="3">
        <v>184.335</v>
      </c>
      <c r="C26" s="3">
        <v>6.191</v>
      </c>
      <c r="D26" s="3">
        <v>9.656</v>
      </c>
      <c r="E26" s="3">
        <v>6.59</v>
      </c>
      <c r="F26" s="3">
        <v>1.915</v>
      </c>
      <c r="G26" s="3">
        <v>4.15</v>
      </c>
      <c r="H26" s="3">
        <v>7.076</v>
      </c>
      <c r="I26" s="3">
        <f t="shared" si="1"/>
        <v>15.847</v>
      </c>
      <c r="J26" s="3">
        <f t="shared" si="2"/>
        <v>11.63217013</v>
      </c>
      <c r="K26" s="3">
        <f t="shared" si="3"/>
        <v>0.4614457831</v>
      </c>
    </row>
    <row r="27" ht="15.75" customHeight="1">
      <c r="A27" s="2">
        <v>26.0</v>
      </c>
      <c r="B27" s="3">
        <v>206.693</v>
      </c>
      <c r="C27" s="3">
        <v>6.237</v>
      </c>
      <c r="D27" s="3">
        <v>9.398</v>
      </c>
      <c r="E27" s="3">
        <v>4.492</v>
      </c>
      <c r="F27" s="3">
        <v>1.689</v>
      </c>
      <c r="G27" s="3">
        <v>3.807</v>
      </c>
      <c r="H27" s="3">
        <v>7.043</v>
      </c>
      <c r="I27" s="3">
        <f t="shared" si="1"/>
        <v>15.635</v>
      </c>
      <c r="J27" s="3">
        <f t="shared" si="2"/>
        <v>13.21989127</v>
      </c>
      <c r="K27" s="3">
        <f t="shared" si="3"/>
        <v>0.4436564224</v>
      </c>
    </row>
    <row r="28" ht="15.75" customHeight="1">
      <c r="A28" s="2">
        <v>27.0</v>
      </c>
      <c r="B28" s="3">
        <v>190.667</v>
      </c>
      <c r="C28" s="3">
        <v>6.884</v>
      </c>
      <c r="D28" s="3">
        <v>9.684</v>
      </c>
      <c r="E28" s="3">
        <v>6.727</v>
      </c>
      <c r="F28" s="3">
        <v>2.114</v>
      </c>
      <c r="G28" s="3">
        <v>4.508</v>
      </c>
      <c r="H28" s="3">
        <v>7.03</v>
      </c>
      <c r="I28" s="3">
        <f t="shared" si="1"/>
        <v>16.568</v>
      </c>
      <c r="J28" s="3">
        <f t="shared" si="2"/>
        <v>11.50814824</v>
      </c>
      <c r="K28" s="3">
        <f t="shared" si="3"/>
        <v>0.4689440994</v>
      </c>
    </row>
    <row r="29" ht="15.75" customHeight="1">
      <c r="A29" s="2">
        <v>28.0</v>
      </c>
      <c r="B29" s="3">
        <v>230.031</v>
      </c>
      <c r="C29" s="3">
        <v>6.768</v>
      </c>
      <c r="D29" s="3">
        <v>9.585</v>
      </c>
      <c r="E29" s="3">
        <v>6.409</v>
      </c>
      <c r="F29" s="3">
        <v>2.041</v>
      </c>
      <c r="G29" s="3">
        <v>4.084</v>
      </c>
      <c r="H29" s="3">
        <v>7.313</v>
      </c>
      <c r="I29" s="3">
        <f t="shared" si="1"/>
        <v>16.353</v>
      </c>
      <c r="J29" s="3">
        <f t="shared" si="2"/>
        <v>14.06659329</v>
      </c>
      <c r="K29" s="3">
        <f t="shared" si="3"/>
        <v>0.499755142</v>
      </c>
    </row>
    <row r="30" ht="15.75" customHeight="1">
      <c r="A30" s="2">
        <v>29.0</v>
      </c>
      <c r="B30" s="3">
        <v>224.929</v>
      </c>
      <c r="C30" s="3">
        <v>5.493</v>
      </c>
      <c r="D30" s="3">
        <v>6.844</v>
      </c>
      <c r="E30" s="3">
        <v>7.54</v>
      </c>
      <c r="F30" s="3">
        <v>2.009</v>
      </c>
      <c r="G30" s="3">
        <v>4.191</v>
      </c>
      <c r="H30" s="3">
        <v>7.581</v>
      </c>
      <c r="I30" s="3">
        <f t="shared" si="1"/>
        <v>12.337</v>
      </c>
      <c r="J30" s="3">
        <f t="shared" si="2"/>
        <v>18.23206614</v>
      </c>
      <c r="K30" s="3">
        <f t="shared" si="3"/>
        <v>0.4793605345</v>
      </c>
    </row>
    <row r="31" ht="15.75" customHeight="1">
      <c r="A31" s="2">
        <v>30.0</v>
      </c>
      <c r="B31" s="3">
        <v>218.459</v>
      </c>
      <c r="C31" s="3">
        <v>6.644</v>
      </c>
      <c r="D31" s="3">
        <v>9.349</v>
      </c>
      <c r="E31" s="3">
        <v>7.331</v>
      </c>
      <c r="F31" s="3">
        <v>1.806</v>
      </c>
      <c r="G31" s="3">
        <v>4.234</v>
      </c>
      <c r="H31" s="3">
        <v>5.239</v>
      </c>
      <c r="I31" s="3">
        <f t="shared" si="1"/>
        <v>15.993</v>
      </c>
      <c r="J31" s="3">
        <f t="shared" si="2"/>
        <v>13.6596636</v>
      </c>
      <c r="K31" s="3">
        <f t="shared" si="3"/>
        <v>0.4265470005</v>
      </c>
    </row>
    <row r="32" ht="15.75" customHeight="1">
      <c r="A32" s="2" t="s">
        <v>13</v>
      </c>
      <c r="B32" s="3">
        <f t="shared" ref="B32:K32" si="4">AVERAGE(B2:B31)</f>
        <v>208.2035</v>
      </c>
      <c r="C32" s="3">
        <f t="shared" si="4"/>
        <v>6.393433333</v>
      </c>
      <c r="D32" s="3">
        <f t="shared" si="4"/>
        <v>9.385633333</v>
      </c>
      <c r="E32" s="3">
        <f t="shared" si="4"/>
        <v>6.556233333</v>
      </c>
      <c r="F32" s="3">
        <f t="shared" si="4"/>
        <v>1.872333333</v>
      </c>
      <c r="G32" s="3">
        <f t="shared" si="4"/>
        <v>4.1746</v>
      </c>
      <c r="H32" s="3">
        <f t="shared" si="4"/>
        <v>6.3011</v>
      </c>
      <c r="I32" s="3">
        <f t="shared" si="4"/>
        <v>15.77906667</v>
      </c>
      <c r="J32" s="3">
        <f t="shared" si="4"/>
        <v>13.22372549</v>
      </c>
      <c r="K32" s="3">
        <f t="shared" si="4"/>
        <v>0.4491278929</v>
      </c>
    </row>
    <row r="33" ht="15.75" customHeight="1">
      <c r="A33" s="2" t="s">
        <v>14</v>
      </c>
      <c r="B33" s="3">
        <f t="shared" ref="B33:K33" si="5">STDEV(B2:B31)</f>
        <v>22.90368884</v>
      </c>
      <c r="C33" s="3">
        <f t="shared" si="5"/>
        <v>0.4878258369</v>
      </c>
      <c r="D33" s="3">
        <f t="shared" si="5"/>
        <v>0.7338239704</v>
      </c>
      <c r="E33" s="3">
        <f t="shared" si="5"/>
        <v>1.031738729</v>
      </c>
      <c r="F33" s="3">
        <f t="shared" si="5"/>
        <v>0.1687179514</v>
      </c>
      <c r="G33" s="3">
        <f t="shared" si="5"/>
        <v>0.2742520361</v>
      </c>
      <c r="H33" s="3">
        <f t="shared" si="5"/>
        <v>0.8581303795</v>
      </c>
      <c r="I33" s="3">
        <f t="shared" si="5"/>
        <v>1.006914541</v>
      </c>
      <c r="J33" s="3">
        <f t="shared" si="5"/>
        <v>1.523446574</v>
      </c>
      <c r="K33" s="3">
        <f t="shared" si="5"/>
        <v>0.03585211724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270.864</v>
      </c>
      <c r="C2" s="3">
        <v>7.65</v>
      </c>
      <c r="D2" s="3">
        <v>12.051</v>
      </c>
      <c r="E2" s="3">
        <v>6.926</v>
      </c>
      <c r="F2" s="3">
        <v>2.046</v>
      </c>
      <c r="G2" s="3">
        <v>5.91</v>
      </c>
      <c r="H2" s="3">
        <v>10.11</v>
      </c>
      <c r="I2" s="3">
        <f t="shared" ref="I2:I31" si="1">C2+D2</f>
        <v>19.701</v>
      </c>
      <c r="J2" s="3">
        <f t="shared" ref="J2:J31" si="2">B2/I2</f>
        <v>13.74874372</v>
      </c>
      <c r="K2" s="3">
        <f t="shared" ref="K2:K31" si="3">F2/G2</f>
        <v>0.3461928934</v>
      </c>
    </row>
    <row r="3">
      <c r="A3" s="2">
        <v>2.0</v>
      </c>
      <c r="B3" s="3">
        <v>230.253</v>
      </c>
      <c r="C3" s="3">
        <v>6.866</v>
      </c>
      <c r="D3" s="3">
        <v>10.073</v>
      </c>
      <c r="E3" s="3">
        <v>7.891</v>
      </c>
      <c r="F3" s="3">
        <v>1.834</v>
      </c>
      <c r="G3" s="3">
        <v>4.485</v>
      </c>
      <c r="H3" s="3">
        <v>9.988</v>
      </c>
      <c r="I3" s="3">
        <f t="shared" si="1"/>
        <v>16.939</v>
      </c>
      <c r="J3" s="3">
        <f t="shared" si="2"/>
        <v>13.59306925</v>
      </c>
      <c r="K3" s="3">
        <f t="shared" si="3"/>
        <v>0.4089186176</v>
      </c>
    </row>
    <row r="4">
      <c r="A4" s="2">
        <v>3.0</v>
      </c>
      <c r="B4" s="3">
        <v>238.928</v>
      </c>
      <c r="C4" s="3">
        <v>6.296</v>
      </c>
      <c r="D4" s="3">
        <v>10.249</v>
      </c>
      <c r="E4" s="3">
        <v>7.703</v>
      </c>
      <c r="F4" s="3">
        <v>1.863</v>
      </c>
      <c r="G4" s="3">
        <v>5.342</v>
      </c>
      <c r="H4" s="3">
        <v>11.221</v>
      </c>
      <c r="I4" s="3">
        <f t="shared" si="1"/>
        <v>16.545</v>
      </c>
      <c r="J4" s="3">
        <f t="shared" si="2"/>
        <v>14.44110003</v>
      </c>
      <c r="K4" s="3">
        <f t="shared" si="3"/>
        <v>0.3487457881</v>
      </c>
    </row>
    <row r="5">
      <c r="A5" s="2">
        <v>4.0</v>
      </c>
      <c r="B5" s="3">
        <v>232.65</v>
      </c>
      <c r="C5" s="3">
        <v>6.51</v>
      </c>
      <c r="D5" s="3">
        <v>9.833</v>
      </c>
      <c r="E5" s="3">
        <v>7.22</v>
      </c>
      <c r="F5" s="3">
        <v>1.839</v>
      </c>
      <c r="G5" s="3">
        <v>5.534</v>
      </c>
      <c r="H5" s="3">
        <v>8.752</v>
      </c>
      <c r="I5" s="3">
        <f t="shared" si="1"/>
        <v>16.343</v>
      </c>
      <c r="J5" s="3">
        <f t="shared" si="2"/>
        <v>14.23545249</v>
      </c>
      <c r="K5" s="3">
        <f t="shared" si="3"/>
        <v>0.3323093603</v>
      </c>
    </row>
    <row r="6">
      <c r="A6" s="2">
        <v>5.0</v>
      </c>
      <c r="B6" s="3">
        <v>236.524</v>
      </c>
      <c r="C6" s="3">
        <v>6.929</v>
      </c>
      <c r="D6" s="3">
        <v>10.963</v>
      </c>
      <c r="E6" s="3">
        <v>7.723</v>
      </c>
      <c r="F6" s="3">
        <v>1.859</v>
      </c>
      <c r="G6" s="3">
        <v>5.54</v>
      </c>
      <c r="H6" s="3">
        <v>9.04</v>
      </c>
      <c r="I6" s="3">
        <f t="shared" si="1"/>
        <v>17.892</v>
      </c>
      <c r="J6" s="3">
        <f t="shared" si="2"/>
        <v>13.21953946</v>
      </c>
      <c r="K6" s="3">
        <f t="shared" si="3"/>
        <v>0.3355595668</v>
      </c>
    </row>
    <row r="7">
      <c r="A7" s="2">
        <v>6.0</v>
      </c>
      <c r="B7" s="3">
        <v>235.218</v>
      </c>
      <c r="C7" s="3">
        <v>6.746</v>
      </c>
      <c r="D7" s="3">
        <v>9.189</v>
      </c>
      <c r="E7" s="3">
        <v>7.175</v>
      </c>
      <c r="F7" s="3">
        <v>1.982</v>
      </c>
      <c r="G7" s="3">
        <v>4.866</v>
      </c>
      <c r="H7" s="3">
        <v>8.33</v>
      </c>
      <c r="I7" s="3">
        <f t="shared" si="1"/>
        <v>15.935</v>
      </c>
      <c r="J7" s="3">
        <f t="shared" si="2"/>
        <v>14.76109194</v>
      </c>
      <c r="K7" s="3">
        <f t="shared" si="3"/>
        <v>0.4073160707</v>
      </c>
    </row>
    <row r="8">
      <c r="A8" s="2">
        <v>7.0</v>
      </c>
      <c r="B8" s="3">
        <v>221.214</v>
      </c>
      <c r="C8" s="3">
        <v>7.312</v>
      </c>
      <c r="D8" s="3">
        <v>9.264</v>
      </c>
      <c r="E8" s="3">
        <v>7.492</v>
      </c>
      <c r="F8" s="3">
        <v>1.674</v>
      </c>
      <c r="G8" s="3">
        <v>4.578</v>
      </c>
      <c r="H8" s="3">
        <v>8.093</v>
      </c>
      <c r="I8" s="3">
        <f t="shared" si="1"/>
        <v>16.576</v>
      </c>
      <c r="J8" s="3">
        <f t="shared" si="2"/>
        <v>13.34543919</v>
      </c>
      <c r="K8" s="3">
        <f t="shared" si="3"/>
        <v>0.3656618611</v>
      </c>
    </row>
    <row r="9">
      <c r="A9" s="2">
        <v>8.0</v>
      </c>
      <c r="B9" s="3">
        <v>226.424</v>
      </c>
      <c r="C9" s="3">
        <v>6.084</v>
      </c>
      <c r="D9" s="3">
        <v>9.6</v>
      </c>
      <c r="E9" s="3">
        <v>5.924</v>
      </c>
      <c r="F9" s="3">
        <v>1.436</v>
      </c>
      <c r="G9" s="3">
        <v>4.785</v>
      </c>
      <c r="H9" s="3">
        <v>9.516</v>
      </c>
      <c r="I9" s="3">
        <f t="shared" si="1"/>
        <v>15.684</v>
      </c>
      <c r="J9" s="3">
        <f t="shared" si="2"/>
        <v>14.43662331</v>
      </c>
      <c r="K9" s="3">
        <f t="shared" si="3"/>
        <v>0.3001044932</v>
      </c>
    </row>
    <row r="10">
      <c r="A10" s="2">
        <v>9.0</v>
      </c>
      <c r="B10" s="3">
        <v>226.751</v>
      </c>
      <c r="C10" s="3">
        <v>7.034</v>
      </c>
      <c r="D10" s="3">
        <v>10.094</v>
      </c>
      <c r="E10" s="3">
        <v>7.465</v>
      </c>
      <c r="F10" s="3">
        <v>1.783</v>
      </c>
      <c r="G10" s="3">
        <v>5.129</v>
      </c>
      <c r="H10" s="3">
        <v>8.282</v>
      </c>
      <c r="I10" s="3">
        <f t="shared" si="1"/>
        <v>17.128</v>
      </c>
      <c r="J10" s="3">
        <f t="shared" si="2"/>
        <v>13.23861513</v>
      </c>
      <c r="K10" s="3">
        <f t="shared" si="3"/>
        <v>0.3476311172</v>
      </c>
    </row>
    <row r="11">
      <c r="A11" s="2">
        <v>10.0</v>
      </c>
      <c r="B11" s="3">
        <v>201.174</v>
      </c>
      <c r="C11" s="3">
        <v>6.881</v>
      </c>
      <c r="D11" s="3">
        <v>9.578</v>
      </c>
      <c r="E11" s="3">
        <v>7.702</v>
      </c>
      <c r="F11" s="3">
        <v>1.961</v>
      </c>
      <c r="G11" s="3">
        <v>5.111</v>
      </c>
      <c r="H11" s="3">
        <v>9.361</v>
      </c>
      <c r="I11" s="3">
        <f t="shared" si="1"/>
        <v>16.459</v>
      </c>
      <c r="J11" s="3">
        <f t="shared" si="2"/>
        <v>12.22273528</v>
      </c>
      <c r="K11" s="3">
        <f t="shared" si="3"/>
        <v>0.383682254</v>
      </c>
    </row>
    <row r="12">
      <c r="A12" s="2">
        <v>11.0</v>
      </c>
      <c r="B12" s="3">
        <v>213.339</v>
      </c>
      <c r="C12" s="3">
        <v>7.225</v>
      </c>
      <c r="D12" s="3">
        <v>9.973</v>
      </c>
      <c r="E12" s="3">
        <v>9.411</v>
      </c>
      <c r="F12" s="3">
        <v>1.536</v>
      </c>
      <c r="G12" s="3">
        <v>4.716</v>
      </c>
      <c r="H12" s="3">
        <v>8.281</v>
      </c>
      <c r="I12" s="3">
        <f t="shared" si="1"/>
        <v>17.198</v>
      </c>
      <c r="J12" s="3">
        <f t="shared" si="2"/>
        <v>12.40487266</v>
      </c>
      <c r="K12" s="3">
        <f t="shared" si="3"/>
        <v>0.3256997455</v>
      </c>
    </row>
    <row r="13">
      <c r="A13" s="2">
        <v>12.0</v>
      </c>
      <c r="B13" s="3">
        <v>232.462</v>
      </c>
      <c r="C13" s="3">
        <v>7.347</v>
      </c>
      <c r="D13" s="3">
        <v>9.816</v>
      </c>
      <c r="E13" s="3">
        <v>8.939</v>
      </c>
      <c r="F13" s="3">
        <v>2.233</v>
      </c>
      <c r="G13" s="3">
        <v>5.442</v>
      </c>
      <c r="H13" s="3">
        <v>9.321</v>
      </c>
      <c r="I13" s="3">
        <f t="shared" si="1"/>
        <v>17.163</v>
      </c>
      <c r="J13" s="3">
        <f t="shared" si="2"/>
        <v>13.5443687</v>
      </c>
      <c r="K13" s="3">
        <f t="shared" si="3"/>
        <v>0.4103270856</v>
      </c>
    </row>
    <row r="14">
      <c r="A14" s="2">
        <v>13.0</v>
      </c>
      <c r="B14" s="3">
        <v>261.407</v>
      </c>
      <c r="C14" s="3">
        <v>7.795</v>
      </c>
      <c r="D14" s="3">
        <v>10.417</v>
      </c>
      <c r="E14" s="3">
        <v>9.145</v>
      </c>
      <c r="F14" s="3">
        <v>1.973</v>
      </c>
      <c r="G14" s="3">
        <v>5.214</v>
      </c>
      <c r="H14" s="3">
        <v>10.416</v>
      </c>
      <c r="I14" s="3">
        <f t="shared" si="1"/>
        <v>18.212</v>
      </c>
      <c r="J14" s="3">
        <f t="shared" si="2"/>
        <v>14.35355809</v>
      </c>
      <c r="K14" s="3">
        <f t="shared" si="3"/>
        <v>0.3784042961</v>
      </c>
    </row>
    <row r="15">
      <c r="A15" s="2">
        <v>14.0</v>
      </c>
      <c r="B15" s="3">
        <v>254.199</v>
      </c>
      <c r="C15" s="3">
        <v>7.651</v>
      </c>
      <c r="D15" s="3">
        <v>11.036</v>
      </c>
      <c r="E15" s="3">
        <v>9.425</v>
      </c>
      <c r="F15" s="3">
        <v>2.47</v>
      </c>
      <c r="G15" s="3">
        <v>5.557</v>
      </c>
      <c r="H15" s="3">
        <v>11.205</v>
      </c>
      <c r="I15" s="3">
        <f t="shared" si="1"/>
        <v>18.687</v>
      </c>
      <c r="J15" s="3">
        <f t="shared" si="2"/>
        <v>13.60298603</v>
      </c>
      <c r="K15" s="3">
        <f t="shared" si="3"/>
        <v>0.444484434</v>
      </c>
    </row>
    <row r="16">
      <c r="A16" s="2">
        <v>15.0</v>
      </c>
      <c r="B16" s="3">
        <v>131.813</v>
      </c>
      <c r="C16" s="3">
        <v>4.403</v>
      </c>
      <c r="D16" s="3">
        <v>7.696</v>
      </c>
      <c r="E16" s="3">
        <v>5.198</v>
      </c>
      <c r="F16" s="3">
        <v>1.56</v>
      </c>
      <c r="G16" s="3">
        <v>4.341</v>
      </c>
      <c r="H16" s="3">
        <v>6.209</v>
      </c>
      <c r="I16" s="3">
        <f t="shared" si="1"/>
        <v>12.099</v>
      </c>
      <c r="J16" s="3">
        <f t="shared" si="2"/>
        <v>10.89453674</v>
      </c>
      <c r="K16" s="3">
        <f t="shared" si="3"/>
        <v>0.3593642018</v>
      </c>
    </row>
    <row r="17">
      <c r="A17" s="2">
        <v>16.0</v>
      </c>
      <c r="B17" s="3">
        <v>248.783</v>
      </c>
      <c r="C17" s="3">
        <v>6.86</v>
      </c>
      <c r="D17" s="3">
        <v>10.033</v>
      </c>
      <c r="E17" s="3">
        <v>7.729</v>
      </c>
      <c r="F17" s="3">
        <v>1.936</v>
      </c>
      <c r="G17" s="3">
        <v>5.004</v>
      </c>
      <c r="H17" s="3">
        <v>7.111</v>
      </c>
      <c r="I17" s="3">
        <f t="shared" si="1"/>
        <v>16.893</v>
      </c>
      <c r="J17" s="3">
        <f t="shared" si="2"/>
        <v>14.72698751</v>
      </c>
      <c r="K17" s="3">
        <f t="shared" si="3"/>
        <v>0.3868904876</v>
      </c>
    </row>
    <row r="18">
      <c r="A18" s="2">
        <v>17.0</v>
      </c>
      <c r="B18" s="3">
        <v>180.109</v>
      </c>
      <c r="C18" s="3">
        <v>6.728</v>
      </c>
      <c r="D18" s="3">
        <v>9.657</v>
      </c>
      <c r="E18" s="3">
        <v>8.193</v>
      </c>
      <c r="F18" s="3">
        <v>1.83</v>
      </c>
      <c r="G18" s="3">
        <v>4.928</v>
      </c>
      <c r="H18" s="3">
        <v>7.616</v>
      </c>
      <c r="I18" s="3">
        <f t="shared" si="1"/>
        <v>16.385</v>
      </c>
      <c r="J18" s="3">
        <f t="shared" si="2"/>
        <v>10.99231004</v>
      </c>
      <c r="K18" s="3">
        <f t="shared" si="3"/>
        <v>0.3713474026</v>
      </c>
    </row>
    <row r="19">
      <c r="A19" s="2">
        <v>18.0</v>
      </c>
      <c r="B19" s="3">
        <v>229.599</v>
      </c>
      <c r="C19" s="3">
        <v>7.488</v>
      </c>
      <c r="D19" s="3">
        <v>9.676</v>
      </c>
      <c r="E19" s="3">
        <v>8.246</v>
      </c>
      <c r="F19" s="3">
        <v>1.923</v>
      </c>
      <c r="G19" s="3">
        <v>5.597</v>
      </c>
      <c r="H19" s="3">
        <v>8.415</v>
      </c>
      <c r="I19" s="3">
        <f t="shared" si="1"/>
        <v>17.164</v>
      </c>
      <c r="J19" s="3">
        <f t="shared" si="2"/>
        <v>13.37677698</v>
      </c>
      <c r="K19" s="3">
        <f t="shared" si="3"/>
        <v>0.3435769162</v>
      </c>
    </row>
    <row r="20">
      <c r="A20" s="2">
        <v>19.0</v>
      </c>
      <c r="B20" s="3">
        <v>247.675</v>
      </c>
      <c r="C20" s="3">
        <v>7.366</v>
      </c>
      <c r="D20" s="3">
        <v>10.396</v>
      </c>
      <c r="E20" s="3">
        <v>8.427</v>
      </c>
      <c r="F20" s="3">
        <v>1.818</v>
      </c>
      <c r="G20" s="3">
        <v>5.448</v>
      </c>
      <c r="H20" s="3">
        <v>8.762</v>
      </c>
      <c r="I20" s="3">
        <f t="shared" si="1"/>
        <v>17.762</v>
      </c>
      <c r="J20" s="3">
        <f t="shared" si="2"/>
        <v>13.94409413</v>
      </c>
      <c r="K20" s="3">
        <f t="shared" si="3"/>
        <v>0.3337004405</v>
      </c>
    </row>
    <row r="21" ht="15.75" customHeight="1">
      <c r="A21" s="2">
        <v>20.0</v>
      </c>
      <c r="B21" s="3">
        <v>128.506</v>
      </c>
      <c r="C21" s="3">
        <v>5.243</v>
      </c>
      <c r="D21" s="3">
        <v>6.517</v>
      </c>
      <c r="E21" s="3">
        <v>5.629</v>
      </c>
      <c r="F21" s="3">
        <v>1.379</v>
      </c>
      <c r="G21" s="3">
        <v>4.011</v>
      </c>
      <c r="H21" s="3">
        <v>6.243</v>
      </c>
      <c r="I21" s="3">
        <f t="shared" si="1"/>
        <v>11.76</v>
      </c>
      <c r="J21" s="3">
        <f t="shared" si="2"/>
        <v>10.92738095</v>
      </c>
      <c r="K21" s="3">
        <f t="shared" si="3"/>
        <v>0.3438045375</v>
      </c>
    </row>
    <row r="22" ht="15.75" customHeight="1">
      <c r="A22" s="2">
        <v>21.0</v>
      </c>
      <c r="B22" s="3">
        <v>153.293</v>
      </c>
      <c r="C22" s="3">
        <v>6.081</v>
      </c>
      <c r="D22" s="3">
        <v>7.605</v>
      </c>
      <c r="E22" s="3">
        <v>6.771</v>
      </c>
      <c r="F22" s="3">
        <v>1.501</v>
      </c>
      <c r="G22" s="3">
        <v>4.465</v>
      </c>
      <c r="H22" s="3">
        <v>6.12</v>
      </c>
      <c r="I22" s="3">
        <f t="shared" si="1"/>
        <v>13.686</v>
      </c>
      <c r="J22" s="3">
        <f t="shared" si="2"/>
        <v>11.20071606</v>
      </c>
      <c r="K22" s="3">
        <f t="shared" si="3"/>
        <v>0.3361702128</v>
      </c>
    </row>
    <row r="23" ht="15.75" customHeight="1">
      <c r="A23" s="2">
        <v>22.0</v>
      </c>
      <c r="B23" s="3">
        <v>183.295</v>
      </c>
      <c r="C23" s="3">
        <v>5.648</v>
      </c>
      <c r="D23" s="3">
        <v>8.356</v>
      </c>
      <c r="E23" s="3">
        <v>7.042</v>
      </c>
      <c r="F23" s="3">
        <v>2.184</v>
      </c>
      <c r="G23" s="3">
        <v>5.129</v>
      </c>
      <c r="H23" s="3">
        <v>6.584</v>
      </c>
      <c r="I23" s="3">
        <f t="shared" si="1"/>
        <v>14.004</v>
      </c>
      <c r="J23" s="3">
        <f t="shared" si="2"/>
        <v>13.08876035</v>
      </c>
      <c r="K23" s="3">
        <f t="shared" si="3"/>
        <v>0.4258139988</v>
      </c>
    </row>
    <row r="24" ht="15.75" customHeight="1">
      <c r="A24" s="2">
        <v>23.0</v>
      </c>
      <c r="B24" s="3">
        <v>185.686</v>
      </c>
      <c r="C24" s="3">
        <v>7.058</v>
      </c>
      <c r="D24" s="3">
        <v>9.616</v>
      </c>
      <c r="E24" s="3">
        <v>6.934</v>
      </c>
      <c r="F24" s="3">
        <v>1.606</v>
      </c>
      <c r="G24" s="3">
        <v>5.383</v>
      </c>
      <c r="H24" s="3">
        <v>9.98</v>
      </c>
      <c r="I24" s="3">
        <f t="shared" si="1"/>
        <v>16.674</v>
      </c>
      <c r="J24" s="3">
        <f t="shared" si="2"/>
        <v>11.13626005</v>
      </c>
      <c r="K24" s="3">
        <f t="shared" si="3"/>
        <v>0.2983466469</v>
      </c>
    </row>
    <row r="25" ht="15.75" customHeight="1">
      <c r="A25" s="2">
        <v>24.0</v>
      </c>
      <c r="B25" s="3">
        <v>257.853</v>
      </c>
      <c r="C25" s="3">
        <v>7.437</v>
      </c>
      <c r="D25" s="3">
        <v>10.215</v>
      </c>
      <c r="E25" s="3">
        <v>8.509</v>
      </c>
      <c r="F25" s="3">
        <v>1.609</v>
      </c>
      <c r="G25" s="3">
        <v>4.88</v>
      </c>
      <c r="H25" s="3">
        <v>12.408</v>
      </c>
      <c r="I25" s="3">
        <f t="shared" si="1"/>
        <v>17.652</v>
      </c>
      <c r="J25" s="3">
        <f t="shared" si="2"/>
        <v>14.60757988</v>
      </c>
      <c r="K25" s="3">
        <f t="shared" si="3"/>
        <v>0.3297131148</v>
      </c>
    </row>
    <row r="26" ht="15.75" customHeight="1">
      <c r="A26" s="2">
        <v>25.0</v>
      </c>
      <c r="B26" s="3">
        <v>230.48</v>
      </c>
      <c r="C26" s="3">
        <v>7.013</v>
      </c>
      <c r="D26" s="3">
        <v>10.207</v>
      </c>
      <c r="E26" s="3">
        <v>8.195</v>
      </c>
      <c r="F26" s="3">
        <v>2.334</v>
      </c>
      <c r="G26" s="3">
        <v>5.94</v>
      </c>
      <c r="H26" s="3">
        <v>11.403</v>
      </c>
      <c r="I26" s="3">
        <f t="shared" si="1"/>
        <v>17.22</v>
      </c>
      <c r="J26" s="3">
        <f t="shared" si="2"/>
        <v>13.3844367</v>
      </c>
      <c r="K26" s="3">
        <f t="shared" si="3"/>
        <v>0.3929292929</v>
      </c>
    </row>
    <row r="27" ht="15.75" customHeight="1">
      <c r="A27" s="2">
        <v>26.0</v>
      </c>
      <c r="B27" s="3">
        <v>21.48</v>
      </c>
      <c r="C27" s="3">
        <v>7.209</v>
      </c>
      <c r="D27" s="3">
        <v>9.065</v>
      </c>
      <c r="E27" s="3">
        <v>9.249</v>
      </c>
      <c r="F27" s="3">
        <v>1.891</v>
      </c>
      <c r="G27" s="3">
        <v>5.08</v>
      </c>
      <c r="H27" s="3">
        <v>10.502</v>
      </c>
      <c r="I27" s="3">
        <f t="shared" si="1"/>
        <v>16.274</v>
      </c>
      <c r="J27" s="3">
        <f t="shared" si="2"/>
        <v>1.319896768</v>
      </c>
      <c r="K27" s="3">
        <f t="shared" si="3"/>
        <v>0.3722440945</v>
      </c>
    </row>
    <row r="28" ht="15.75" customHeight="1">
      <c r="A28" s="2">
        <v>27.0</v>
      </c>
      <c r="B28" s="3">
        <v>229.928</v>
      </c>
      <c r="C28" s="3">
        <v>7.098</v>
      </c>
      <c r="D28" s="3">
        <v>10.096</v>
      </c>
      <c r="E28" s="3">
        <v>8.532</v>
      </c>
      <c r="F28" s="3">
        <v>1.895</v>
      </c>
      <c r="G28" s="3">
        <v>5.464</v>
      </c>
      <c r="H28" s="3">
        <v>10.684</v>
      </c>
      <c r="I28" s="3">
        <f t="shared" si="1"/>
        <v>17.194</v>
      </c>
      <c r="J28" s="3">
        <f t="shared" si="2"/>
        <v>13.37257183</v>
      </c>
      <c r="K28" s="3">
        <f t="shared" si="3"/>
        <v>0.3468155198</v>
      </c>
    </row>
    <row r="29" ht="15.75" customHeight="1">
      <c r="A29" s="2">
        <v>28.0</v>
      </c>
      <c r="B29" s="3">
        <v>197.625</v>
      </c>
      <c r="C29" s="3">
        <v>6.754</v>
      </c>
      <c r="D29" s="3">
        <v>9.636</v>
      </c>
      <c r="E29" s="3">
        <v>6.727</v>
      </c>
      <c r="F29" s="3">
        <v>2.11</v>
      </c>
      <c r="G29" s="3">
        <v>5.178</v>
      </c>
      <c r="H29" s="3">
        <v>7.62</v>
      </c>
      <c r="I29" s="3">
        <f t="shared" si="1"/>
        <v>16.39</v>
      </c>
      <c r="J29" s="3">
        <f t="shared" si="2"/>
        <v>12.05765711</v>
      </c>
      <c r="K29" s="3">
        <f t="shared" si="3"/>
        <v>0.4074932406</v>
      </c>
    </row>
    <row r="30" ht="15.75" customHeight="1">
      <c r="A30" s="2">
        <v>29.0</v>
      </c>
      <c r="B30" s="3">
        <v>221.953</v>
      </c>
      <c r="C30" s="3">
        <v>6.714</v>
      </c>
      <c r="D30" s="3">
        <v>8.712</v>
      </c>
      <c r="E30" s="3">
        <v>6.971</v>
      </c>
      <c r="F30" s="3">
        <v>1.79</v>
      </c>
      <c r="G30" s="3">
        <v>4.655</v>
      </c>
      <c r="H30" s="3">
        <v>8.346</v>
      </c>
      <c r="I30" s="3">
        <f t="shared" si="1"/>
        <v>15.426</v>
      </c>
      <c r="J30" s="3">
        <f t="shared" si="2"/>
        <v>14.38824063</v>
      </c>
      <c r="K30" s="3">
        <f t="shared" si="3"/>
        <v>0.3845327605</v>
      </c>
    </row>
    <row r="31" ht="15.75" customHeight="1">
      <c r="A31" s="2">
        <v>30.0</v>
      </c>
      <c r="B31" s="3">
        <v>295.208</v>
      </c>
      <c r="C31" s="3">
        <v>7.88</v>
      </c>
      <c r="D31" s="3">
        <v>10.109</v>
      </c>
      <c r="E31" s="3">
        <v>8.168</v>
      </c>
      <c r="F31" s="3">
        <v>2.166</v>
      </c>
      <c r="G31" s="3">
        <v>5.711</v>
      </c>
      <c r="H31" s="3">
        <v>11.231</v>
      </c>
      <c r="I31" s="3">
        <f t="shared" si="1"/>
        <v>17.989</v>
      </c>
      <c r="J31" s="3">
        <f t="shared" si="2"/>
        <v>16.41047307</v>
      </c>
      <c r="K31" s="3">
        <f t="shared" si="3"/>
        <v>0.3792680791</v>
      </c>
    </row>
    <row r="32" ht="15.75" customHeight="1">
      <c r="A32" s="2" t="s">
        <v>13</v>
      </c>
      <c r="B32" s="3">
        <f t="shared" ref="B32:K32" si="4">AVERAGE(B2:B31)</f>
        <v>214.1564333</v>
      </c>
      <c r="C32" s="3">
        <f t="shared" si="4"/>
        <v>6.843533333</v>
      </c>
      <c r="D32" s="3">
        <f t="shared" si="4"/>
        <v>9.6576</v>
      </c>
      <c r="E32" s="3">
        <f t="shared" si="4"/>
        <v>7.6887</v>
      </c>
      <c r="F32" s="3">
        <f t="shared" si="4"/>
        <v>1.867366667</v>
      </c>
      <c r="G32" s="3">
        <f t="shared" si="4"/>
        <v>5.1141</v>
      </c>
      <c r="H32" s="3">
        <f t="shared" si="4"/>
        <v>9.038333333</v>
      </c>
      <c r="I32" s="3">
        <f t="shared" si="4"/>
        <v>16.50113333</v>
      </c>
      <c r="J32" s="3">
        <f t="shared" si="4"/>
        <v>12.89922914</v>
      </c>
      <c r="K32" s="3">
        <f t="shared" si="4"/>
        <v>0.3649016177</v>
      </c>
    </row>
    <row r="33" ht="15.75" customHeight="1">
      <c r="A33" s="2" t="s">
        <v>18</v>
      </c>
      <c r="B33" s="3">
        <f t="shared" ref="B33:K33" si="5">STDEV(B2:B31)</f>
        <v>52.46669064</v>
      </c>
      <c r="C33" s="3">
        <f t="shared" si="5"/>
        <v>0.7616668986</v>
      </c>
      <c r="D33" s="3">
        <f t="shared" si="5"/>
        <v>1.078352051</v>
      </c>
      <c r="E33" s="3">
        <f t="shared" si="5"/>
        <v>1.068481299</v>
      </c>
      <c r="F33" s="3">
        <f t="shared" si="5"/>
        <v>0.2620540196</v>
      </c>
      <c r="G33" s="3">
        <f t="shared" si="5"/>
        <v>0.4734309366</v>
      </c>
      <c r="H33" s="3">
        <f t="shared" si="5"/>
        <v>1.69162522</v>
      </c>
      <c r="I33" s="3">
        <f t="shared" si="5"/>
        <v>1.726152244</v>
      </c>
      <c r="J33" s="3">
        <f t="shared" si="5"/>
        <v>2.561568652</v>
      </c>
      <c r="K33" s="3">
        <f t="shared" si="5"/>
        <v>0.03593193726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198.262</v>
      </c>
      <c r="C2" s="3">
        <v>6.237</v>
      </c>
      <c r="D2" s="3">
        <v>10.501</v>
      </c>
      <c r="E2" s="3">
        <v>6.911</v>
      </c>
      <c r="F2" s="3">
        <v>1.835</v>
      </c>
      <c r="G2" s="3">
        <v>4.455</v>
      </c>
      <c r="H2" s="3">
        <v>9.069</v>
      </c>
      <c r="I2" s="3">
        <f t="shared" ref="I2:I31" si="1">C2+D2</f>
        <v>16.738</v>
      </c>
      <c r="J2" s="3">
        <f t="shared" ref="J2:J31" si="2">B2/I2</f>
        <v>11.8450233</v>
      </c>
      <c r="K2" s="3">
        <f t="shared" ref="K2:K31" si="3">F2/G2</f>
        <v>0.4118967452</v>
      </c>
    </row>
    <row r="3">
      <c r="A3" s="2">
        <v>2.0</v>
      </c>
      <c r="B3" s="3">
        <v>167.2</v>
      </c>
      <c r="C3" s="3">
        <v>6.376</v>
      </c>
      <c r="D3" s="3">
        <v>9.001</v>
      </c>
      <c r="E3" s="3">
        <v>6.48</v>
      </c>
      <c r="F3" s="3">
        <v>2.195</v>
      </c>
      <c r="G3" s="3">
        <v>4.717</v>
      </c>
      <c r="H3" s="3">
        <v>7.964</v>
      </c>
      <c r="I3" s="3">
        <f t="shared" si="1"/>
        <v>15.377</v>
      </c>
      <c r="J3" s="3">
        <f t="shared" si="2"/>
        <v>10.87338232</v>
      </c>
      <c r="K3" s="3">
        <f t="shared" si="3"/>
        <v>0.4653381386</v>
      </c>
    </row>
    <row r="4">
      <c r="A4" s="2">
        <v>3.0</v>
      </c>
      <c r="B4" s="3">
        <v>226.091</v>
      </c>
      <c r="C4" s="3">
        <v>6.809</v>
      </c>
      <c r="D4" s="3">
        <v>10.186</v>
      </c>
      <c r="E4" s="3">
        <v>6.84</v>
      </c>
      <c r="F4" s="3">
        <v>2.007</v>
      </c>
      <c r="G4" s="3">
        <v>4.955</v>
      </c>
      <c r="H4" s="3">
        <v>8.376</v>
      </c>
      <c r="I4" s="3">
        <f t="shared" si="1"/>
        <v>16.995</v>
      </c>
      <c r="J4" s="3">
        <f t="shared" si="2"/>
        <v>13.30338335</v>
      </c>
      <c r="K4" s="3">
        <f t="shared" si="3"/>
        <v>0.4050454087</v>
      </c>
    </row>
    <row r="5">
      <c r="A5" s="2">
        <v>4.0</v>
      </c>
      <c r="B5" s="3">
        <v>274.641</v>
      </c>
      <c r="C5" s="3">
        <v>8.2008</v>
      </c>
      <c r="D5" s="3">
        <v>11.123</v>
      </c>
      <c r="E5" s="3">
        <v>8.901</v>
      </c>
      <c r="F5" s="3">
        <v>2.571</v>
      </c>
      <c r="G5" s="3">
        <v>4.988</v>
      </c>
      <c r="H5" s="3">
        <v>8.268</v>
      </c>
      <c r="I5" s="3">
        <f t="shared" si="1"/>
        <v>19.3238</v>
      </c>
      <c r="J5" s="3">
        <f t="shared" si="2"/>
        <v>14.21257724</v>
      </c>
      <c r="K5" s="3">
        <f t="shared" si="3"/>
        <v>0.5154370489</v>
      </c>
    </row>
    <row r="6">
      <c r="A6" s="2">
        <v>5.0</v>
      </c>
      <c r="B6" s="3">
        <v>227.361</v>
      </c>
      <c r="C6" s="3">
        <v>7.096</v>
      </c>
      <c r="D6" s="3">
        <v>9.298</v>
      </c>
      <c r="E6" s="3">
        <v>7.022</v>
      </c>
      <c r="F6" s="3">
        <v>2.189</v>
      </c>
      <c r="G6" s="3">
        <v>4.655</v>
      </c>
      <c r="H6" s="3">
        <v>8.633</v>
      </c>
      <c r="I6" s="3">
        <f t="shared" si="1"/>
        <v>16.394</v>
      </c>
      <c r="J6" s="3">
        <f t="shared" si="2"/>
        <v>13.86854947</v>
      </c>
      <c r="K6" s="3">
        <f t="shared" si="3"/>
        <v>0.4702470462</v>
      </c>
    </row>
    <row r="7">
      <c r="A7" s="2">
        <v>6.0</v>
      </c>
      <c r="B7" s="3">
        <v>233.65</v>
      </c>
      <c r="C7" s="3">
        <v>7.814</v>
      </c>
      <c r="D7" s="3">
        <v>10.82</v>
      </c>
      <c r="E7" s="3">
        <v>9.007</v>
      </c>
      <c r="F7" s="3">
        <v>2.181</v>
      </c>
      <c r="G7" s="3">
        <v>4.903</v>
      </c>
      <c r="H7" s="3">
        <v>10.277</v>
      </c>
      <c r="I7" s="3">
        <f t="shared" si="1"/>
        <v>18.634</v>
      </c>
      <c r="J7" s="3">
        <f t="shared" si="2"/>
        <v>12.53890737</v>
      </c>
      <c r="K7" s="3">
        <f t="shared" si="3"/>
        <v>0.4448296961</v>
      </c>
    </row>
    <row r="8">
      <c r="A8" s="2">
        <v>7.0</v>
      </c>
      <c r="B8" s="3">
        <v>252.093</v>
      </c>
      <c r="C8" s="3">
        <v>7.855</v>
      </c>
      <c r="D8" s="3">
        <v>11.476</v>
      </c>
      <c r="E8" s="3">
        <v>9.097</v>
      </c>
      <c r="F8" s="3">
        <v>3.156</v>
      </c>
      <c r="G8" s="3">
        <v>6.815</v>
      </c>
      <c r="H8" s="3">
        <v>13.792</v>
      </c>
      <c r="I8" s="3">
        <f t="shared" si="1"/>
        <v>19.331</v>
      </c>
      <c r="J8" s="3">
        <f t="shared" si="2"/>
        <v>13.040867</v>
      </c>
      <c r="K8" s="3">
        <f t="shared" si="3"/>
        <v>0.4630961115</v>
      </c>
    </row>
    <row r="9">
      <c r="A9" s="2">
        <v>8.0</v>
      </c>
      <c r="B9" s="3">
        <v>268.048</v>
      </c>
      <c r="C9" s="3">
        <v>7.533</v>
      </c>
      <c r="D9" s="3">
        <v>10.97</v>
      </c>
      <c r="E9" s="3">
        <v>10.184</v>
      </c>
      <c r="F9" s="3">
        <v>2.532</v>
      </c>
      <c r="G9" s="3">
        <v>6.077</v>
      </c>
      <c r="H9" s="3">
        <v>15.139</v>
      </c>
      <c r="I9" s="3">
        <f t="shared" si="1"/>
        <v>18.503</v>
      </c>
      <c r="J9" s="3">
        <f t="shared" si="2"/>
        <v>14.48673188</v>
      </c>
      <c r="K9" s="3">
        <f t="shared" si="3"/>
        <v>0.4166529538</v>
      </c>
    </row>
    <row r="10">
      <c r="A10" s="2">
        <v>9.0</v>
      </c>
      <c r="B10" s="3">
        <v>270.385</v>
      </c>
      <c r="C10" s="3">
        <v>7.879</v>
      </c>
      <c r="D10" s="3">
        <v>10.909</v>
      </c>
      <c r="E10" s="3">
        <v>8.182</v>
      </c>
      <c r="F10" s="3">
        <v>2.801</v>
      </c>
      <c r="G10" s="3">
        <v>5.785</v>
      </c>
      <c r="H10" s="3">
        <v>15.16</v>
      </c>
      <c r="I10" s="3">
        <f t="shared" si="1"/>
        <v>18.788</v>
      </c>
      <c r="J10" s="3">
        <f t="shared" si="2"/>
        <v>14.39136683</v>
      </c>
      <c r="K10" s="3">
        <f t="shared" si="3"/>
        <v>0.4841832325</v>
      </c>
    </row>
    <row r="11">
      <c r="A11" s="2">
        <v>10.0</v>
      </c>
      <c r="B11" s="3">
        <v>199.71</v>
      </c>
      <c r="C11" s="3">
        <v>6.818</v>
      </c>
      <c r="D11" s="3">
        <v>9.758</v>
      </c>
      <c r="E11" s="3">
        <v>8.37</v>
      </c>
      <c r="F11" s="3">
        <v>2.089</v>
      </c>
      <c r="G11" s="3">
        <v>5.044</v>
      </c>
      <c r="H11" s="3">
        <v>9.998</v>
      </c>
      <c r="I11" s="3">
        <f t="shared" si="1"/>
        <v>16.576</v>
      </c>
      <c r="J11" s="3">
        <f t="shared" si="2"/>
        <v>12.04814189</v>
      </c>
      <c r="K11" s="3">
        <f t="shared" si="3"/>
        <v>0.4141554322</v>
      </c>
    </row>
    <row r="12">
      <c r="A12" s="2">
        <v>11.0</v>
      </c>
      <c r="B12" s="3">
        <v>244.308</v>
      </c>
      <c r="C12" s="3">
        <v>6.41</v>
      </c>
      <c r="D12" s="3">
        <v>9.623</v>
      </c>
      <c r="E12" s="3">
        <v>7.892</v>
      </c>
      <c r="F12" s="3">
        <v>2.118</v>
      </c>
      <c r="G12" s="3">
        <v>5.033</v>
      </c>
      <c r="H12" s="3">
        <v>11.026</v>
      </c>
      <c r="I12" s="3">
        <f t="shared" si="1"/>
        <v>16.033</v>
      </c>
      <c r="J12" s="3">
        <f t="shared" si="2"/>
        <v>15.23782199</v>
      </c>
      <c r="K12" s="3">
        <f t="shared" si="3"/>
        <v>0.420822571</v>
      </c>
    </row>
    <row r="13">
      <c r="A13" s="2">
        <v>12.0</v>
      </c>
      <c r="B13" s="3">
        <v>151.922</v>
      </c>
      <c r="C13" s="3">
        <v>5.483</v>
      </c>
      <c r="D13" s="3">
        <v>7.857</v>
      </c>
      <c r="E13" s="3">
        <v>6.428</v>
      </c>
      <c r="F13" s="3">
        <v>1.521</v>
      </c>
      <c r="G13" s="3">
        <v>4.125</v>
      </c>
      <c r="H13" s="3">
        <v>5.825</v>
      </c>
      <c r="I13" s="3">
        <f t="shared" si="1"/>
        <v>13.34</v>
      </c>
      <c r="J13" s="3">
        <f t="shared" si="2"/>
        <v>11.38845577</v>
      </c>
      <c r="K13" s="3">
        <f t="shared" si="3"/>
        <v>0.3687272727</v>
      </c>
    </row>
    <row r="14">
      <c r="A14" s="2">
        <v>13.0</v>
      </c>
      <c r="B14" s="3">
        <v>266.719</v>
      </c>
      <c r="C14" s="3">
        <v>7.3</v>
      </c>
      <c r="D14" s="3">
        <v>9.633</v>
      </c>
      <c r="E14" s="3">
        <v>9.0</v>
      </c>
      <c r="F14" s="3">
        <v>2.085</v>
      </c>
      <c r="G14" s="3">
        <v>6.008</v>
      </c>
      <c r="H14" s="3">
        <v>12.607</v>
      </c>
      <c r="I14" s="3">
        <f t="shared" si="1"/>
        <v>16.933</v>
      </c>
      <c r="J14" s="3">
        <f t="shared" si="2"/>
        <v>15.75143211</v>
      </c>
      <c r="K14" s="3">
        <f t="shared" si="3"/>
        <v>0.3470372836</v>
      </c>
    </row>
    <row r="15">
      <c r="A15" s="2">
        <v>14.0</v>
      </c>
      <c r="B15" s="3">
        <v>180.081</v>
      </c>
      <c r="C15" s="3">
        <v>6.615</v>
      </c>
      <c r="D15" s="3">
        <v>9.832</v>
      </c>
      <c r="E15" s="3">
        <v>7.616</v>
      </c>
      <c r="F15" s="3">
        <v>2.006</v>
      </c>
      <c r="G15" s="3">
        <v>4.921</v>
      </c>
      <c r="H15" s="3">
        <v>7.003</v>
      </c>
      <c r="I15" s="3">
        <f t="shared" si="1"/>
        <v>16.447</v>
      </c>
      <c r="J15" s="3">
        <f t="shared" si="2"/>
        <v>10.94917006</v>
      </c>
      <c r="K15" s="3">
        <f t="shared" si="3"/>
        <v>0.4076407234</v>
      </c>
    </row>
    <row r="16">
      <c r="A16" s="2">
        <v>15.0</v>
      </c>
      <c r="B16" s="3">
        <v>215.328</v>
      </c>
      <c r="C16" s="3">
        <v>7.844</v>
      </c>
      <c r="D16" s="3">
        <v>10.119</v>
      </c>
      <c r="E16" s="3">
        <v>8.977</v>
      </c>
      <c r="F16" s="3">
        <v>2.423</v>
      </c>
      <c r="G16" s="3">
        <v>5.084</v>
      </c>
      <c r="H16" s="3">
        <v>11.829</v>
      </c>
      <c r="I16" s="3">
        <f t="shared" si="1"/>
        <v>17.963</v>
      </c>
      <c r="J16" s="3">
        <f t="shared" si="2"/>
        <v>11.98730724</v>
      </c>
      <c r="K16" s="3">
        <f t="shared" si="3"/>
        <v>0.4765932337</v>
      </c>
    </row>
    <row r="17">
      <c r="A17" s="2">
        <v>16.0</v>
      </c>
      <c r="B17" s="3">
        <v>250.68</v>
      </c>
      <c r="C17" s="3">
        <v>7.236</v>
      </c>
      <c r="D17" s="3">
        <v>10.01</v>
      </c>
      <c r="E17" s="3">
        <v>7.903</v>
      </c>
      <c r="F17" s="3">
        <v>2.181</v>
      </c>
      <c r="G17" s="3">
        <v>5.673</v>
      </c>
      <c r="H17" s="3">
        <v>15.778</v>
      </c>
      <c r="I17" s="3">
        <f t="shared" si="1"/>
        <v>17.246</v>
      </c>
      <c r="J17" s="3">
        <f t="shared" si="2"/>
        <v>14.53554447</v>
      </c>
      <c r="K17" s="3">
        <f t="shared" si="3"/>
        <v>0.3844526705</v>
      </c>
    </row>
    <row r="18">
      <c r="A18" s="2">
        <v>17.0</v>
      </c>
      <c r="B18" s="3">
        <v>196.409</v>
      </c>
      <c r="C18" s="3">
        <v>6.758</v>
      </c>
      <c r="D18" s="3">
        <v>8.424</v>
      </c>
      <c r="E18" s="3">
        <v>7.757</v>
      </c>
      <c r="F18" s="3">
        <v>1.979</v>
      </c>
      <c r="G18" s="3">
        <v>4.479</v>
      </c>
      <c r="H18" s="3">
        <v>7.76</v>
      </c>
      <c r="I18" s="3">
        <f t="shared" si="1"/>
        <v>15.182</v>
      </c>
      <c r="J18" s="3">
        <f t="shared" si="2"/>
        <v>12.93696483</v>
      </c>
      <c r="K18" s="3">
        <f t="shared" si="3"/>
        <v>0.4418396964</v>
      </c>
    </row>
    <row r="19">
      <c r="A19" s="2">
        <v>18.0</v>
      </c>
      <c r="B19" s="3">
        <v>225.264</v>
      </c>
      <c r="C19" s="3">
        <v>6.86</v>
      </c>
      <c r="D19" s="3">
        <v>10.119</v>
      </c>
      <c r="E19" s="3">
        <v>7.938</v>
      </c>
      <c r="F19" s="3">
        <v>2.472</v>
      </c>
      <c r="G19" s="3">
        <v>4.936</v>
      </c>
      <c r="H19" s="3">
        <v>9.177</v>
      </c>
      <c r="I19" s="3">
        <f t="shared" si="1"/>
        <v>16.979</v>
      </c>
      <c r="J19" s="3">
        <f t="shared" si="2"/>
        <v>13.26721244</v>
      </c>
      <c r="K19" s="3">
        <f t="shared" si="3"/>
        <v>0.5008103728</v>
      </c>
    </row>
    <row r="20">
      <c r="A20" s="2">
        <v>19.0</v>
      </c>
      <c r="B20" s="3">
        <v>211.712</v>
      </c>
      <c r="C20" s="3">
        <v>7.429</v>
      </c>
      <c r="D20" s="3">
        <v>9.715</v>
      </c>
      <c r="E20" s="3">
        <v>8.042</v>
      </c>
      <c r="F20" s="3">
        <v>1.492</v>
      </c>
      <c r="G20" s="3">
        <v>3.154</v>
      </c>
      <c r="H20" s="3">
        <v>7.337</v>
      </c>
      <c r="I20" s="3">
        <f t="shared" si="1"/>
        <v>17.144</v>
      </c>
      <c r="J20" s="3">
        <f t="shared" si="2"/>
        <v>12.3490434</v>
      </c>
      <c r="K20" s="3">
        <f t="shared" si="3"/>
        <v>0.4730500951</v>
      </c>
    </row>
    <row r="21" ht="15.75" customHeight="1">
      <c r="A21" s="2">
        <v>20.0</v>
      </c>
      <c r="B21" s="3">
        <v>215.679</v>
      </c>
      <c r="C21" s="3">
        <v>7.184</v>
      </c>
      <c r="D21" s="3">
        <v>9.548</v>
      </c>
      <c r="E21" s="3">
        <v>7.688</v>
      </c>
      <c r="F21" s="3">
        <v>2.114</v>
      </c>
      <c r="G21" s="3">
        <v>4.863</v>
      </c>
      <c r="H21" s="3">
        <v>8.683</v>
      </c>
      <c r="I21" s="3">
        <f t="shared" si="1"/>
        <v>16.732</v>
      </c>
      <c r="J21" s="3">
        <f t="shared" si="2"/>
        <v>12.89021038</v>
      </c>
      <c r="K21" s="3">
        <f t="shared" si="3"/>
        <v>0.4347110837</v>
      </c>
    </row>
    <row r="22" ht="15.75" customHeight="1">
      <c r="A22" s="2">
        <v>21.0</v>
      </c>
      <c r="B22" s="3">
        <v>230.252</v>
      </c>
      <c r="C22" s="3">
        <v>7.508</v>
      </c>
      <c r="D22" s="3">
        <v>8.302</v>
      </c>
      <c r="E22" s="3">
        <v>8.585</v>
      </c>
      <c r="F22" s="3">
        <v>2.307</v>
      </c>
      <c r="G22" s="3">
        <v>5.101</v>
      </c>
      <c r="H22" s="3">
        <v>10.385</v>
      </c>
      <c r="I22" s="3">
        <f t="shared" si="1"/>
        <v>15.81</v>
      </c>
      <c r="J22" s="3">
        <f t="shared" si="2"/>
        <v>14.56369386</v>
      </c>
      <c r="K22" s="3">
        <f t="shared" si="3"/>
        <v>0.4522642619</v>
      </c>
    </row>
    <row r="23" ht="15.75" customHeight="1">
      <c r="A23" s="2">
        <v>22.0</v>
      </c>
      <c r="B23" s="3">
        <v>265.479</v>
      </c>
      <c r="C23" s="3">
        <v>7.614</v>
      </c>
      <c r="D23" s="3">
        <v>10.116</v>
      </c>
      <c r="E23" s="3">
        <v>9.554</v>
      </c>
      <c r="F23" s="3">
        <v>2.371</v>
      </c>
      <c r="G23" s="3">
        <v>5.552</v>
      </c>
      <c r="H23" s="3">
        <v>9.753</v>
      </c>
      <c r="I23" s="3">
        <f t="shared" si="1"/>
        <v>17.73</v>
      </c>
      <c r="J23" s="3">
        <f t="shared" si="2"/>
        <v>14.97343486</v>
      </c>
      <c r="K23" s="3">
        <f t="shared" si="3"/>
        <v>0.4270533141</v>
      </c>
    </row>
    <row r="24" ht="15.75" customHeight="1">
      <c r="A24" s="2">
        <v>23.0</v>
      </c>
      <c r="B24" s="3">
        <v>252.486</v>
      </c>
      <c r="C24" s="3">
        <v>8.68</v>
      </c>
      <c r="D24" s="3">
        <v>10.351</v>
      </c>
      <c r="E24" s="3">
        <v>10.662</v>
      </c>
      <c r="F24" s="3">
        <v>2.502</v>
      </c>
      <c r="G24" s="3">
        <v>5.865</v>
      </c>
      <c r="H24" s="3">
        <v>13.147</v>
      </c>
      <c r="I24" s="3">
        <f t="shared" si="1"/>
        <v>19.031</v>
      </c>
      <c r="J24" s="3">
        <f t="shared" si="2"/>
        <v>13.26709054</v>
      </c>
      <c r="K24" s="3">
        <f t="shared" si="3"/>
        <v>0.4265984655</v>
      </c>
    </row>
    <row r="25" ht="15.75" customHeight="1">
      <c r="A25" s="2">
        <v>24.0</v>
      </c>
      <c r="B25" s="3">
        <v>222.107</v>
      </c>
      <c r="C25" s="3">
        <v>7.384</v>
      </c>
      <c r="D25" s="3">
        <v>9.302</v>
      </c>
      <c r="E25" s="3">
        <v>8.8</v>
      </c>
      <c r="F25" s="3">
        <v>2.553</v>
      </c>
      <c r="G25" s="3">
        <v>5.107</v>
      </c>
      <c r="H25" s="3">
        <v>10.396</v>
      </c>
      <c r="I25" s="3">
        <f t="shared" si="1"/>
        <v>16.686</v>
      </c>
      <c r="J25" s="3">
        <f t="shared" si="2"/>
        <v>13.31097926</v>
      </c>
      <c r="K25" s="3">
        <f t="shared" si="3"/>
        <v>0.4999020952</v>
      </c>
    </row>
    <row r="26" ht="15.75" customHeight="1">
      <c r="A26" s="2">
        <v>25.0</v>
      </c>
      <c r="B26" s="3">
        <v>211.372</v>
      </c>
      <c r="C26" s="3">
        <v>7.037</v>
      </c>
      <c r="D26" s="3">
        <v>10.025</v>
      </c>
      <c r="E26" s="3">
        <v>8.288</v>
      </c>
      <c r="F26" s="3">
        <v>2.13</v>
      </c>
      <c r="G26" s="3">
        <v>5.278</v>
      </c>
      <c r="H26" s="3">
        <v>11.788</v>
      </c>
      <c r="I26" s="3">
        <f t="shared" si="1"/>
        <v>17.062</v>
      </c>
      <c r="J26" s="3">
        <f t="shared" si="2"/>
        <v>12.3884656</v>
      </c>
      <c r="K26" s="3">
        <f t="shared" si="3"/>
        <v>0.4035619553</v>
      </c>
    </row>
    <row r="27" ht="15.75" customHeight="1">
      <c r="A27" s="2">
        <v>26.0</v>
      </c>
      <c r="B27" s="3">
        <v>204.233</v>
      </c>
      <c r="C27" s="3">
        <v>7.465</v>
      </c>
      <c r="D27" s="3">
        <v>8.673</v>
      </c>
      <c r="E27" s="3">
        <v>8.646</v>
      </c>
      <c r="F27" s="3">
        <v>1.921</v>
      </c>
      <c r="G27" s="3">
        <v>5.025</v>
      </c>
      <c r="H27" s="3">
        <v>9.823</v>
      </c>
      <c r="I27" s="3">
        <f t="shared" si="1"/>
        <v>16.138</v>
      </c>
      <c r="J27" s="3">
        <f t="shared" si="2"/>
        <v>12.65540959</v>
      </c>
      <c r="K27" s="3">
        <f t="shared" si="3"/>
        <v>0.3822885572</v>
      </c>
    </row>
    <row r="28" ht="15.75" customHeight="1">
      <c r="A28" s="2">
        <v>27.0</v>
      </c>
      <c r="B28" s="3">
        <v>230.429</v>
      </c>
      <c r="C28" s="3">
        <v>8.025</v>
      </c>
      <c r="D28" s="3">
        <v>10.865</v>
      </c>
      <c r="E28" s="3">
        <v>9.324</v>
      </c>
      <c r="F28" s="3">
        <v>2.236</v>
      </c>
      <c r="G28" s="3">
        <v>5.771</v>
      </c>
      <c r="H28" s="3">
        <v>14.834</v>
      </c>
      <c r="I28" s="3">
        <f t="shared" si="1"/>
        <v>18.89</v>
      </c>
      <c r="J28" s="3">
        <f t="shared" si="2"/>
        <v>12.1984648</v>
      </c>
      <c r="K28" s="3">
        <f t="shared" si="3"/>
        <v>0.3874545139</v>
      </c>
    </row>
    <row r="29" ht="15.75" customHeight="1">
      <c r="A29" s="2">
        <v>28.0</v>
      </c>
      <c r="B29" s="3">
        <v>246.371</v>
      </c>
      <c r="C29" s="3">
        <v>7.109</v>
      </c>
      <c r="D29" s="3">
        <v>10.729</v>
      </c>
      <c r="E29" s="3">
        <v>8.098</v>
      </c>
      <c r="F29" s="3">
        <v>1.924</v>
      </c>
      <c r="G29" s="3">
        <v>5.341</v>
      </c>
      <c r="H29" s="3">
        <v>10.608</v>
      </c>
      <c r="I29" s="3">
        <f t="shared" si="1"/>
        <v>17.838</v>
      </c>
      <c r="J29" s="3">
        <f t="shared" si="2"/>
        <v>13.81158202</v>
      </c>
      <c r="K29" s="3">
        <f t="shared" si="3"/>
        <v>0.3602321663</v>
      </c>
    </row>
    <row r="30" ht="15.75" customHeight="1">
      <c r="A30" s="2">
        <v>29.0</v>
      </c>
      <c r="B30" s="3">
        <v>176.486</v>
      </c>
      <c r="C30" s="3">
        <v>5.965</v>
      </c>
      <c r="D30" s="3">
        <v>8.496</v>
      </c>
      <c r="E30" s="3">
        <v>7.059</v>
      </c>
      <c r="F30" s="3">
        <v>1.772</v>
      </c>
      <c r="G30" s="3">
        <v>4.079</v>
      </c>
      <c r="H30" s="3">
        <v>7.666</v>
      </c>
      <c r="I30" s="3">
        <f t="shared" si="1"/>
        <v>14.461</v>
      </c>
      <c r="J30" s="3">
        <f t="shared" si="2"/>
        <v>12.20427356</v>
      </c>
      <c r="K30" s="3">
        <f t="shared" si="3"/>
        <v>0.434420201</v>
      </c>
    </row>
    <row r="31" ht="15.75" customHeight="1">
      <c r="A31" s="2">
        <v>30.0</v>
      </c>
      <c r="B31" s="3">
        <v>157.344</v>
      </c>
      <c r="C31" s="3">
        <v>5.362</v>
      </c>
      <c r="D31" s="3">
        <v>7.534</v>
      </c>
      <c r="E31" s="3">
        <v>6.012</v>
      </c>
      <c r="F31" s="3">
        <v>1.554</v>
      </c>
      <c r="G31" s="3">
        <v>3.664</v>
      </c>
      <c r="H31" s="3">
        <v>5.233</v>
      </c>
      <c r="I31" s="3">
        <f t="shared" si="1"/>
        <v>12.896</v>
      </c>
      <c r="J31" s="3">
        <f t="shared" si="2"/>
        <v>12.20099256</v>
      </c>
      <c r="K31" s="3">
        <f t="shared" si="3"/>
        <v>0.4241266376</v>
      </c>
    </row>
    <row r="32" ht="15.75" customHeight="1">
      <c r="A32" s="2" t="s">
        <v>13</v>
      </c>
      <c r="B32" s="3">
        <f t="shared" ref="B32:K32" si="4">AVERAGE(B2:B31)</f>
        <v>222.4034</v>
      </c>
      <c r="C32" s="3">
        <f t="shared" si="4"/>
        <v>7.129526667</v>
      </c>
      <c r="D32" s="3">
        <f t="shared" si="4"/>
        <v>9.777166667</v>
      </c>
      <c r="E32" s="3">
        <f t="shared" si="4"/>
        <v>8.175433333</v>
      </c>
      <c r="F32" s="3">
        <f t="shared" si="4"/>
        <v>2.1739</v>
      </c>
      <c r="G32" s="3">
        <f t="shared" si="4"/>
        <v>5.048433333</v>
      </c>
      <c r="H32" s="3">
        <f t="shared" si="4"/>
        <v>10.24446667</v>
      </c>
      <c r="I32" s="3">
        <f t="shared" si="4"/>
        <v>16.90669333</v>
      </c>
      <c r="J32" s="3">
        <f t="shared" si="4"/>
        <v>13.11588267</v>
      </c>
      <c r="K32" s="3">
        <f t="shared" si="4"/>
        <v>0.4314822995</v>
      </c>
    </row>
    <row r="33" ht="15.75" customHeight="1">
      <c r="A33" s="2" t="s">
        <v>18</v>
      </c>
      <c r="B33" s="3">
        <f t="shared" ref="B33:K33" si="5">STDEV(B2:B31)</f>
        <v>33.96515499</v>
      </c>
      <c r="C33" s="3">
        <f t="shared" si="5"/>
        <v>0.7663238471</v>
      </c>
      <c r="D33" s="3">
        <f t="shared" si="5"/>
        <v>0.9967410027</v>
      </c>
      <c r="E33" s="3">
        <f t="shared" si="5"/>
        <v>1.101477556</v>
      </c>
      <c r="F33" s="3">
        <f t="shared" si="5"/>
        <v>0.366873308</v>
      </c>
      <c r="G33" s="3">
        <f t="shared" si="5"/>
        <v>0.7417832978</v>
      </c>
      <c r="H33" s="3">
        <f t="shared" si="5"/>
        <v>2.810915997</v>
      </c>
      <c r="I33" s="3">
        <f t="shared" si="5"/>
        <v>1.613074441</v>
      </c>
      <c r="J33" s="3">
        <f t="shared" si="5"/>
        <v>1.257883312</v>
      </c>
      <c r="K33" s="3">
        <f t="shared" si="5"/>
        <v>0.0428867162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100.379</v>
      </c>
      <c r="C2" s="3">
        <v>3.726</v>
      </c>
      <c r="D2" s="3">
        <v>6.946</v>
      </c>
      <c r="E2" s="3">
        <v>3.635</v>
      </c>
      <c r="F2" s="3">
        <v>1.209</v>
      </c>
      <c r="G2" s="3">
        <v>3.256</v>
      </c>
      <c r="H2" s="3">
        <v>3.336</v>
      </c>
      <c r="I2" s="3">
        <f t="shared" ref="I2:I31" si="1">C2+D2</f>
        <v>10.672</v>
      </c>
      <c r="J2" s="3">
        <f t="shared" ref="J2:J31" si="2">B2/I2</f>
        <v>9.405828336</v>
      </c>
      <c r="K2" s="3">
        <f t="shared" ref="K2:K31" si="3">F2/G2</f>
        <v>0.3713144963</v>
      </c>
    </row>
    <row r="3">
      <c r="A3" s="2">
        <v>2.0</v>
      </c>
      <c r="B3" s="3">
        <v>79.128</v>
      </c>
      <c r="C3" s="3">
        <v>4.109</v>
      </c>
      <c r="D3" s="3">
        <v>6.283</v>
      </c>
      <c r="E3" s="3">
        <v>3.956</v>
      </c>
      <c r="F3" s="3">
        <v>1.074</v>
      </c>
      <c r="G3" s="3">
        <v>2.821</v>
      </c>
      <c r="H3" s="3">
        <v>2.721</v>
      </c>
      <c r="I3" s="3">
        <f t="shared" si="1"/>
        <v>10.392</v>
      </c>
      <c r="J3" s="3">
        <f t="shared" si="2"/>
        <v>7.614318707</v>
      </c>
      <c r="K3" s="3">
        <f t="shared" si="3"/>
        <v>0.3807160581</v>
      </c>
    </row>
    <row r="4">
      <c r="A4" s="2">
        <v>3.0</v>
      </c>
      <c r="B4" s="3">
        <v>93.635</v>
      </c>
      <c r="C4" s="3">
        <v>4.384</v>
      </c>
      <c r="D4" s="3">
        <v>7.074</v>
      </c>
      <c r="E4" s="3">
        <v>4.19</v>
      </c>
      <c r="F4" s="3">
        <v>1.28</v>
      </c>
      <c r="G4" s="3">
        <v>3.17</v>
      </c>
      <c r="H4" s="3">
        <v>3.105</v>
      </c>
      <c r="I4" s="3">
        <f t="shared" si="1"/>
        <v>11.458</v>
      </c>
      <c r="J4" s="3">
        <f t="shared" si="2"/>
        <v>8.17201955</v>
      </c>
      <c r="K4" s="3">
        <f t="shared" si="3"/>
        <v>0.403785489</v>
      </c>
    </row>
    <row r="5">
      <c r="A5" s="2">
        <v>4.0</v>
      </c>
      <c r="B5" s="3">
        <v>109.498</v>
      </c>
      <c r="C5" s="3">
        <v>4.105</v>
      </c>
      <c r="D5" s="3">
        <v>7.389</v>
      </c>
      <c r="E5" s="3">
        <v>4.82</v>
      </c>
      <c r="F5" s="3">
        <v>1.416</v>
      </c>
      <c r="G5" s="3">
        <v>3.834</v>
      </c>
      <c r="H5" s="3">
        <v>3.319</v>
      </c>
      <c r="I5" s="3">
        <f t="shared" si="1"/>
        <v>11.494</v>
      </c>
      <c r="J5" s="3">
        <f t="shared" si="2"/>
        <v>9.526535584</v>
      </c>
      <c r="K5" s="3">
        <f t="shared" si="3"/>
        <v>0.3693270736</v>
      </c>
    </row>
    <row r="6">
      <c r="A6" s="2">
        <v>5.0</v>
      </c>
      <c r="B6" s="3">
        <v>97.083</v>
      </c>
      <c r="C6" s="3">
        <v>3.875</v>
      </c>
      <c r="D6" s="3">
        <v>8.323</v>
      </c>
      <c r="E6" s="3">
        <v>4.461</v>
      </c>
      <c r="F6" s="3">
        <v>0.949</v>
      </c>
      <c r="G6" s="3">
        <v>3.028</v>
      </c>
      <c r="H6" s="3">
        <v>3.609</v>
      </c>
      <c r="I6" s="3">
        <f t="shared" si="1"/>
        <v>12.198</v>
      </c>
      <c r="J6" s="3">
        <f t="shared" si="2"/>
        <v>7.958927693</v>
      </c>
      <c r="K6" s="3">
        <f t="shared" si="3"/>
        <v>0.3134081902</v>
      </c>
    </row>
    <row r="7">
      <c r="A7" s="2">
        <v>6.0</v>
      </c>
      <c r="B7" s="3">
        <v>109.93</v>
      </c>
      <c r="C7" s="3">
        <v>4.478</v>
      </c>
      <c r="D7" s="3">
        <v>7.256</v>
      </c>
      <c r="E7" s="3">
        <v>5.531</v>
      </c>
      <c r="F7" s="3">
        <v>1.075</v>
      </c>
      <c r="G7" s="3">
        <v>3.475</v>
      </c>
      <c r="H7" s="3">
        <v>3.712</v>
      </c>
      <c r="I7" s="3">
        <f t="shared" si="1"/>
        <v>11.734</v>
      </c>
      <c r="J7" s="3">
        <f t="shared" si="2"/>
        <v>9.36850179</v>
      </c>
      <c r="K7" s="3">
        <f t="shared" si="3"/>
        <v>0.309352518</v>
      </c>
    </row>
    <row r="8">
      <c r="A8" s="2">
        <v>7.0</v>
      </c>
      <c r="B8" s="3">
        <v>96.067</v>
      </c>
      <c r="C8" s="3">
        <v>4.627</v>
      </c>
      <c r="D8" s="3">
        <v>6.865</v>
      </c>
      <c r="E8" s="3">
        <v>4.543</v>
      </c>
      <c r="F8" s="3">
        <v>1.345</v>
      </c>
      <c r="G8" s="3">
        <v>3.11</v>
      </c>
      <c r="H8" s="3">
        <v>3.136</v>
      </c>
      <c r="I8" s="3">
        <f t="shared" si="1"/>
        <v>11.492</v>
      </c>
      <c r="J8" s="3">
        <f t="shared" si="2"/>
        <v>8.359467456</v>
      </c>
      <c r="K8" s="3">
        <f t="shared" si="3"/>
        <v>0.4324758842</v>
      </c>
    </row>
    <row r="9">
      <c r="A9" s="2">
        <v>8.0</v>
      </c>
      <c r="B9" s="3">
        <v>79.848</v>
      </c>
      <c r="C9" s="3">
        <v>4.136</v>
      </c>
      <c r="D9" s="3">
        <v>7.75</v>
      </c>
      <c r="E9" s="3">
        <v>5.478</v>
      </c>
      <c r="F9" s="3">
        <v>1.257</v>
      </c>
      <c r="G9" s="3">
        <v>3.33</v>
      </c>
      <c r="H9" s="3">
        <v>3.174</v>
      </c>
      <c r="I9" s="3">
        <f t="shared" si="1"/>
        <v>11.886</v>
      </c>
      <c r="J9" s="3">
        <f t="shared" si="2"/>
        <v>6.717819283</v>
      </c>
      <c r="K9" s="3">
        <f t="shared" si="3"/>
        <v>0.3774774775</v>
      </c>
    </row>
    <row r="10">
      <c r="A10" s="2">
        <v>9.0</v>
      </c>
      <c r="B10" s="3">
        <v>96.807</v>
      </c>
      <c r="C10" s="3">
        <v>4.331</v>
      </c>
      <c r="D10" s="3">
        <v>6.731</v>
      </c>
      <c r="E10" s="3">
        <v>4.627</v>
      </c>
      <c r="F10" s="3">
        <v>1.144</v>
      </c>
      <c r="G10" s="3">
        <v>3.22</v>
      </c>
      <c r="H10" s="3">
        <v>3.204</v>
      </c>
      <c r="I10" s="3">
        <f t="shared" si="1"/>
        <v>11.062</v>
      </c>
      <c r="J10" s="3">
        <f t="shared" si="2"/>
        <v>8.751310794</v>
      </c>
      <c r="K10" s="3">
        <f t="shared" si="3"/>
        <v>0.3552795031</v>
      </c>
    </row>
    <row r="11">
      <c r="A11" s="2">
        <v>10.0</v>
      </c>
      <c r="B11" s="4">
        <v>118.204</v>
      </c>
      <c r="C11" s="4">
        <v>4.953</v>
      </c>
      <c r="D11" s="4">
        <v>8.028</v>
      </c>
      <c r="E11" s="4">
        <v>4.584</v>
      </c>
      <c r="F11" s="4">
        <v>1.288</v>
      </c>
      <c r="G11" s="4">
        <v>3.365</v>
      </c>
      <c r="H11" s="4">
        <v>4.602</v>
      </c>
      <c r="I11" s="3">
        <f t="shared" si="1"/>
        <v>12.981</v>
      </c>
      <c r="J11" s="3">
        <f t="shared" si="2"/>
        <v>9.105924043</v>
      </c>
      <c r="K11" s="3">
        <f t="shared" si="3"/>
        <v>0.3827637444</v>
      </c>
    </row>
    <row r="12">
      <c r="A12" s="2">
        <v>11.0</v>
      </c>
      <c r="B12" s="4">
        <v>101.103</v>
      </c>
      <c r="C12" s="4">
        <v>4.615</v>
      </c>
      <c r="D12" s="4">
        <v>7.2</v>
      </c>
      <c r="E12" s="4">
        <v>4.725</v>
      </c>
      <c r="F12" s="4">
        <v>1.265</v>
      </c>
      <c r="G12" s="4">
        <v>3.088</v>
      </c>
      <c r="H12" s="4">
        <v>3.92</v>
      </c>
      <c r="I12" s="3">
        <f t="shared" si="1"/>
        <v>11.815</v>
      </c>
      <c r="J12" s="3">
        <f t="shared" si="2"/>
        <v>8.557173085</v>
      </c>
      <c r="K12" s="3">
        <f t="shared" si="3"/>
        <v>0.4096502591</v>
      </c>
    </row>
    <row r="13">
      <c r="A13" s="2">
        <v>12.0</v>
      </c>
      <c r="B13" s="4">
        <v>73.405</v>
      </c>
      <c r="C13" s="4">
        <v>3.783</v>
      </c>
      <c r="D13" s="4">
        <v>6.559</v>
      </c>
      <c r="E13" s="4">
        <v>4.751</v>
      </c>
      <c r="F13" s="4">
        <v>0.962</v>
      </c>
      <c r="G13" s="4">
        <v>3.177</v>
      </c>
      <c r="H13" s="4">
        <v>3.534</v>
      </c>
      <c r="I13" s="3">
        <f t="shared" si="1"/>
        <v>10.342</v>
      </c>
      <c r="J13" s="3">
        <f t="shared" si="2"/>
        <v>7.09775672</v>
      </c>
      <c r="K13" s="3">
        <f t="shared" si="3"/>
        <v>0.302801385</v>
      </c>
    </row>
    <row r="14">
      <c r="A14" s="2">
        <v>13.0</v>
      </c>
      <c r="B14" s="4">
        <v>85.8593</v>
      </c>
      <c r="C14" s="4">
        <v>4.598</v>
      </c>
      <c r="D14" s="4">
        <v>7.847</v>
      </c>
      <c r="E14" s="4">
        <v>4.756</v>
      </c>
      <c r="F14" s="4">
        <v>1.084</v>
      </c>
      <c r="G14" s="4">
        <v>3.603</v>
      </c>
      <c r="H14" s="4">
        <v>3.299</v>
      </c>
      <c r="I14" s="3">
        <f t="shared" si="1"/>
        <v>12.445</v>
      </c>
      <c r="J14" s="3">
        <f t="shared" si="2"/>
        <v>6.89910004</v>
      </c>
      <c r="K14" s="3">
        <f t="shared" si="3"/>
        <v>0.3008603941</v>
      </c>
    </row>
    <row r="15">
      <c r="A15" s="2">
        <v>14.0</v>
      </c>
      <c r="B15" s="4">
        <v>86.124</v>
      </c>
      <c r="C15" s="4">
        <v>4.318</v>
      </c>
      <c r="D15" s="4">
        <v>7.115</v>
      </c>
      <c r="E15" s="4">
        <v>4.971</v>
      </c>
      <c r="F15" s="4">
        <v>0.984</v>
      </c>
      <c r="G15" s="4">
        <v>3.036</v>
      </c>
      <c r="H15" s="4">
        <v>3.524</v>
      </c>
      <c r="I15" s="3">
        <f t="shared" si="1"/>
        <v>11.433</v>
      </c>
      <c r="J15" s="3">
        <f t="shared" si="2"/>
        <v>7.532930989</v>
      </c>
      <c r="K15" s="3">
        <f t="shared" si="3"/>
        <v>0.3241106719</v>
      </c>
    </row>
    <row r="16">
      <c r="A16" s="2">
        <v>15.0</v>
      </c>
      <c r="B16" s="4">
        <v>92.434</v>
      </c>
      <c r="C16" s="4">
        <v>3.832</v>
      </c>
      <c r="D16" s="4">
        <v>7.765</v>
      </c>
      <c r="E16" s="4">
        <v>4.464</v>
      </c>
      <c r="F16" s="4">
        <v>1.182</v>
      </c>
      <c r="G16" s="4">
        <v>3.098</v>
      </c>
      <c r="H16" s="4">
        <v>3.858</v>
      </c>
      <c r="I16" s="3">
        <f t="shared" si="1"/>
        <v>11.597</v>
      </c>
      <c r="J16" s="3">
        <f t="shared" si="2"/>
        <v>7.970509615</v>
      </c>
      <c r="K16" s="3">
        <f t="shared" si="3"/>
        <v>0.3815364751</v>
      </c>
    </row>
    <row r="17">
      <c r="A17" s="2">
        <v>16.0</v>
      </c>
      <c r="B17" s="4">
        <v>102.263</v>
      </c>
      <c r="C17" s="4">
        <v>5.035</v>
      </c>
      <c r="D17" s="4">
        <v>6.913</v>
      </c>
      <c r="E17" s="4">
        <v>5.147</v>
      </c>
      <c r="F17" s="4">
        <v>1.13</v>
      </c>
      <c r="G17" s="4">
        <v>3.608</v>
      </c>
      <c r="H17" s="4">
        <v>3.414</v>
      </c>
      <c r="I17" s="3">
        <f t="shared" si="1"/>
        <v>11.948</v>
      </c>
      <c r="J17" s="3">
        <f t="shared" si="2"/>
        <v>8.559005691</v>
      </c>
      <c r="K17" s="3">
        <f t="shared" si="3"/>
        <v>0.3131929047</v>
      </c>
    </row>
    <row r="18">
      <c r="A18" s="2">
        <v>17.0</v>
      </c>
      <c r="B18" s="4">
        <v>81.476</v>
      </c>
      <c r="C18" s="4">
        <v>3.921</v>
      </c>
      <c r="D18" s="4">
        <v>6.295</v>
      </c>
      <c r="E18" s="4">
        <v>3.817</v>
      </c>
      <c r="F18" s="4">
        <v>0.932</v>
      </c>
      <c r="G18" s="4">
        <v>2.987</v>
      </c>
      <c r="H18" s="4">
        <v>2.396</v>
      </c>
      <c r="I18" s="3">
        <f t="shared" si="1"/>
        <v>10.216</v>
      </c>
      <c r="J18" s="3">
        <f t="shared" si="2"/>
        <v>7.975332811</v>
      </c>
      <c r="K18" s="3">
        <f t="shared" si="3"/>
        <v>0.3120187479</v>
      </c>
    </row>
    <row r="19">
      <c r="A19" s="2">
        <v>18.0</v>
      </c>
      <c r="B19" s="4">
        <v>100.255</v>
      </c>
      <c r="C19" s="4">
        <v>4.349</v>
      </c>
      <c r="D19" s="4">
        <v>6.452</v>
      </c>
      <c r="E19" s="4">
        <v>4.88</v>
      </c>
      <c r="F19" s="4">
        <v>0.968</v>
      </c>
      <c r="G19" s="4">
        <v>3.315</v>
      </c>
      <c r="H19" s="4">
        <v>2.359</v>
      </c>
      <c r="I19" s="3">
        <f t="shared" si="1"/>
        <v>10.801</v>
      </c>
      <c r="J19" s="3">
        <f t="shared" si="2"/>
        <v>9.282010925</v>
      </c>
      <c r="K19" s="3">
        <f t="shared" si="3"/>
        <v>0.2920060332</v>
      </c>
    </row>
    <row r="20">
      <c r="A20" s="2">
        <v>19.0</v>
      </c>
      <c r="B20" s="4">
        <v>88.522</v>
      </c>
      <c r="C20" s="4">
        <v>4.357</v>
      </c>
      <c r="D20" s="4">
        <v>7.227</v>
      </c>
      <c r="E20" s="4">
        <v>4.99</v>
      </c>
      <c r="F20" s="4">
        <v>1.264</v>
      </c>
      <c r="G20" s="4">
        <v>3.603</v>
      </c>
      <c r="H20" s="4">
        <v>3.311</v>
      </c>
      <c r="I20" s="3">
        <f t="shared" si="1"/>
        <v>11.584</v>
      </c>
      <c r="J20" s="3">
        <f t="shared" si="2"/>
        <v>7.641747238</v>
      </c>
      <c r="K20" s="3">
        <f t="shared" si="3"/>
        <v>0.3508187621</v>
      </c>
    </row>
    <row r="21" ht="15.75" customHeight="1">
      <c r="A21" s="2">
        <v>20.0</v>
      </c>
      <c r="B21" s="4">
        <v>88.498</v>
      </c>
      <c r="C21" s="4">
        <v>4.511</v>
      </c>
      <c r="D21" s="4">
        <v>7.427</v>
      </c>
      <c r="E21" s="4">
        <v>4.993</v>
      </c>
      <c r="F21" s="4">
        <v>1.207</v>
      </c>
      <c r="G21" s="4">
        <v>3.567</v>
      </c>
      <c r="H21" s="4">
        <v>3.316</v>
      </c>
      <c r="I21" s="3">
        <f t="shared" si="1"/>
        <v>11.938</v>
      </c>
      <c r="J21" s="3">
        <f t="shared" si="2"/>
        <v>7.413134528</v>
      </c>
      <c r="K21" s="3">
        <f t="shared" si="3"/>
        <v>0.3383795907</v>
      </c>
    </row>
    <row r="22" ht="15.75" customHeight="1">
      <c r="A22" s="2">
        <v>21.0</v>
      </c>
      <c r="B22" s="4">
        <v>115.825</v>
      </c>
      <c r="C22" s="4">
        <v>4.509</v>
      </c>
      <c r="D22" s="4">
        <v>6.706</v>
      </c>
      <c r="E22" s="4">
        <v>4.928</v>
      </c>
      <c r="F22" s="4">
        <v>1.199</v>
      </c>
      <c r="G22" s="4">
        <v>3.271</v>
      </c>
      <c r="H22" s="4">
        <v>3.471</v>
      </c>
      <c r="I22" s="3">
        <f t="shared" si="1"/>
        <v>11.215</v>
      </c>
      <c r="J22" s="3">
        <f t="shared" si="2"/>
        <v>10.32768613</v>
      </c>
      <c r="K22" s="3">
        <f t="shared" si="3"/>
        <v>0.3665545705</v>
      </c>
    </row>
    <row r="23" ht="15.75" customHeight="1">
      <c r="A23" s="2">
        <v>22.0</v>
      </c>
      <c r="B23" s="4">
        <v>96.991</v>
      </c>
      <c r="C23" s="4">
        <v>4.406</v>
      </c>
      <c r="D23" s="4">
        <v>6.282</v>
      </c>
      <c r="E23" s="4">
        <v>4.741</v>
      </c>
      <c r="F23" s="4">
        <v>1.201</v>
      </c>
      <c r="G23" s="4">
        <v>3.517</v>
      </c>
      <c r="H23" s="4">
        <v>2.66</v>
      </c>
      <c r="I23" s="3">
        <f t="shared" si="1"/>
        <v>10.688</v>
      </c>
      <c r="J23" s="3">
        <f t="shared" si="2"/>
        <v>9.074756737</v>
      </c>
      <c r="K23" s="3">
        <f t="shared" si="3"/>
        <v>0.3414842195</v>
      </c>
    </row>
    <row r="24" ht="15.75" customHeight="1">
      <c r="A24" s="2">
        <v>23.0</v>
      </c>
      <c r="B24" s="4">
        <v>96.844</v>
      </c>
      <c r="C24" s="4">
        <v>4.45</v>
      </c>
      <c r="D24" s="4">
        <v>7.517</v>
      </c>
      <c r="E24" s="4">
        <v>5.451</v>
      </c>
      <c r="F24" s="4">
        <v>1.08</v>
      </c>
      <c r="G24" s="4">
        <v>3.289</v>
      </c>
      <c r="H24" s="4">
        <v>3.773</v>
      </c>
      <c r="I24" s="3">
        <f t="shared" si="1"/>
        <v>11.967</v>
      </c>
      <c r="J24" s="3">
        <f t="shared" si="2"/>
        <v>8.09258795</v>
      </c>
      <c r="K24" s="3">
        <f t="shared" si="3"/>
        <v>0.3283672849</v>
      </c>
    </row>
    <row r="25" ht="15.75" customHeight="1">
      <c r="A25" s="2">
        <v>24.0</v>
      </c>
      <c r="B25" s="4">
        <v>89.697</v>
      </c>
      <c r="C25" s="4">
        <v>3.833</v>
      </c>
      <c r="D25" s="4">
        <v>6.611</v>
      </c>
      <c r="E25" s="4">
        <v>4.03</v>
      </c>
      <c r="F25" s="4">
        <v>1.157</v>
      </c>
      <c r="G25" s="4">
        <v>3.226</v>
      </c>
      <c r="H25" s="4">
        <v>3.133</v>
      </c>
      <c r="I25" s="3">
        <f t="shared" si="1"/>
        <v>10.444</v>
      </c>
      <c r="J25" s="3">
        <f t="shared" si="2"/>
        <v>8.588376101</v>
      </c>
      <c r="K25" s="3">
        <f t="shared" si="3"/>
        <v>0.3586484811</v>
      </c>
    </row>
    <row r="26" ht="15.75" customHeight="1">
      <c r="A26" s="2">
        <v>25.0</v>
      </c>
      <c r="B26" s="4">
        <v>108.014</v>
      </c>
      <c r="C26" s="4">
        <v>4.132</v>
      </c>
      <c r="D26" s="4">
        <v>7.12</v>
      </c>
      <c r="E26" s="4">
        <v>4.939</v>
      </c>
      <c r="F26" s="4">
        <v>1.086</v>
      </c>
      <c r="G26" s="4">
        <v>3.514</v>
      </c>
      <c r="H26" s="4">
        <v>3.927</v>
      </c>
      <c r="I26" s="3">
        <f t="shared" si="1"/>
        <v>11.252</v>
      </c>
      <c r="J26" s="3">
        <f t="shared" si="2"/>
        <v>9.59953786</v>
      </c>
      <c r="K26" s="3">
        <f t="shared" si="3"/>
        <v>0.3090495162</v>
      </c>
    </row>
    <row r="27" ht="15.75" customHeight="1">
      <c r="A27" s="2">
        <v>26.0</v>
      </c>
      <c r="B27" s="4">
        <v>108.318</v>
      </c>
      <c r="C27" s="4">
        <v>4.409</v>
      </c>
      <c r="D27" s="4">
        <v>7.383</v>
      </c>
      <c r="E27" s="4">
        <v>4.651</v>
      </c>
      <c r="F27" s="4">
        <v>1.343</v>
      </c>
      <c r="G27" s="4">
        <v>3.745</v>
      </c>
      <c r="H27" s="4">
        <v>4.304</v>
      </c>
      <c r="I27" s="3">
        <f t="shared" si="1"/>
        <v>11.792</v>
      </c>
      <c r="J27" s="3">
        <f t="shared" si="2"/>
        <v>9.185719132</v>
      </c>
      <c r="K27" s="3">
        <f t="shared" si="3"/>
        <v>0.358611482</v>
      </c>
    </row>
    <row r="28" ht="15.75" customHeight="1">
      <c r="A28" s="2">
        <v>27.0</v>
      </c>
      <c r="B28" s="4">
        <v>105.174</v>
      </c>
      <c r="C28" s="4">
        <v>4.498</v>
      </c>
      <c r="D28" s="4">
        <v>6.297</v>
      </c>
      <c r="E28" s="4">
        <v>4.674</v>
      </c>
      <c r="F28" s="4">
        <v>1.075</v>
      </c>
      <c r="G28" s="4">
        <v>3.582</v>
      </c>
      <c r="H28" s="4">
        <v>3.75</v>
      </c>
      <c r="I28" s="3">
        <f t="shared" si="1"/>
        <v>10.795</v>
      </c>
      <c r="J28" s="3">
        <f t="shared" si="2"/>
        <v>9.742843909</v>
      </c>
      <c r="K28" s="3">
        <f t="shared" si="3"/>
        <v>0.3001116695</v>
      </c>
    </row>
    <row r="29" ht="15.75" customHeight="1">
      <c r="A29" s="2">
        <v>28.0</v>
      </c>
      <c r="B29" s="4">
        <v>88.235</v>
      </c>
      <c r="C29" s="4">
        <v>3.313</v>
      </c>
      <c r="D29" s="4">
        <v>6.446</v>
      </c>
      <c r="E29" s="4">
        <v>3.898</v>
      </c>
      <c r="F29" s="4">
        <v>0.948</v>
      </c>
      <c r="G29" s="4">
        <v>2.938</v>
      </c>
      <c r="H29" s="4">
        <v>2.672</v>
      </c>
      <c r="I29" s="3">
        <f t="shared" si="1"/>
        <v>9.759</v>
      </c>
      <c r="J29" s="3">
        <f t="shared" si="2"/>
        <v>9.041397684</v>
      </c>
      <c r="K29" s="3">
        <f t="shared" si="3"/>
        <v>0.322668482</v>
      </c>
    </row>
    <row r="30" ht="15.75" customHeight="1">
      <c r="A30" s="2">
        <v>29.0</v>
      </c>
      <c r="B30" s="4">
        <v>86.031</v>
      </c>
      <c r="C30" s="4">
        <v>3.905</v>
      </c>
      <c r="D30" s="4">
        <v>6.438</v>
      </c>
      <c r="E30" s="4">
        <v>3.821</v>
      </c>
      <c r="F30" s="4">
        <v>1.108</v>
      </c>
      <c r="G30" s="4">
        <v>3.072</v>
      </c>
      <c r="H30" s="4">
        <v>3.363</v>
      </c>
      <c r="I30" s="3">
        <f t="shared" si="1"/>
        <v>10.343</v>
      </c>
      <c r="J30" s="3">
        <f t="shared" si="2"/>
        <v>8.317799478</v>
      </c>
      <c r="K30" s="3">
        <f t="shared" si="3"/>
        <v>0.3606770833</v>
      </c>
    </row>
    <row r="31" ht="15.75" customHeight="1">
      <c r="A31" s="2">
        <v>30.0</v>
      </c>
      <c r="B31" s="4">
        <v>112.003</v>
      </c>
      <c r="C31" s="4">
        <v>4.957</v>
      </c>
      <c r="D31" s="4">
        <v>7.437</v>
      </c>
      <c r="E31" s="4">
        <v>5.906</v>
      </c>
      <c r="F31" s="4">
        <v>1.267</v>
      </c>
      <c r="G31" s="4">
        <v>3.583</v>
      </c>
      <c r="H31" s="4">
        <v>3.148</v>
      </c>
      <c r="I31" s="3">
        <f t="shared" si="1"/>
        <v>12.394</v>
      </c>
      <c r="J31" s="3">
        <f t="shared" si="2"/>
        <v>9.03687268</v>
      </c>
      <c r="K31" s="3">
        <f t="shared" si="3"/>
        <v>0.3536142897</v>
      </c>
    </row>
    <row r="32" ht="15.75" customHeight="1">
      <c r="A32" s="2" t="s">
        <v>11</v>
      </c>
      <c r="B32" s="3">
        <f t="shared" ref="B32:K32" si="4">AVERAGE(B2:B31)</f>
        <v>96.25501</v>
      </c>
      <c r="C32" s="3">
        <f t="shared" si="4"/>
        <v>4.281833333</v>
      </c>
      <c r="D32" s="3">
        <f t="shared" si="4"/>
        <v>7.056066667</v>
      </c>
      <c r="E32" s="3">
        <f t="shared" si="4"/>
        <v>4.6786</v>
      </c>
      <c r="F32" s="3">
        <f t="shared" si="4"/>
        <v>1.1493</v>
      </c>
      <c r="G32" s="3">
        <f t="shared" si="4"/>
        <v>3.314266667</v>
      </c>
      <c r="H32" s="3">
        <f t="shared" si="4"/>
        <v>3.368333333</v>
      </c>
      <c r="I32" s="3">
        <f t="shared" si="4"/>
        <v>11.3379</v>
      </c>
      <c r="J32" s="3">
        <f t="shared" si="4"/>
        <v>8.497231085</v>
      </c>
      <c r="K32" s="3">
        <f t="shared" si="4"/>
        <v>0.3473687579</v>
      </c>
    </row>
    <row r="33" ht="15.75" customHeight="1">
      <c r="A33" s="2" t="s">
        <v>12</v>
      </c>
      <c r="B33" s="3">
        <f t="shared" ref="B33:K33" si="5">STDEV(B2:B31)</f>
        <v>11.44710573</v>
      </c>
      <c r="C33" s="3">
        <f t="shared" si="5"/>
        <v>0.3947937989</v>
      </c>
      <c r="D33" s="3">
        <f t="shared" si="5"/>
        <v>0.5627495881</v>
      </c>
      <c r="E33" s="3">
        <f t="shared" si="5"/>
        <v>0.546440305</v>
      </c>
      <c r="F33" s="3">
        <f t="shared" si="5"/>
        <v>0.131759224</v>
      </c>
      <c r="G33" s="3">
        <f t="shared" si="5"/>
        <v>0.2585161815</v>
      </c>
      <c r="H33" s="3">
        <f t="shared" si="5"/>
        <v>0.5078550114</v>
      </c>
      <c r="I33" s="3">
        <f t="shared" si="5"/>
        <v>0.7650446618</v>
      </c>
      <c r="J33" s="3">
        <f t="shared" si="5"/>
        <v>0.9036040813</v>
      </c>
      <c r="K33" s="3">
        <f t="shared" si="5"/>
        <v>0.03632770807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71"/>
    <col customWidth="1" min="3" max="3" width="16.86"/>
    <col customWidth="1" min="4" max="4" width="14.57"/>
    <col customWidth="1" min="5" max="5" width="15.86"/>
    <col customWidth="1" min="6" max="6" width="10.43"/>
    <col customWidth="1" min="7" max="8" width="17.0"/>
    <col customWidth="1" min="9" max="9" width="8.86"/>
    <col customWidth="1" min="10" max="10" width="9.43"/>
    <col customWidth="1" min="11" max="11" width="10.71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35.74</v>
      </c>
      <c r="C2" s="3">
        <v>4.251</v>
      </c>
      <c r="D2" s="3">
        <v>4.762</v>
      </c>
      <c r="E2" s="3">
        <v>3.612</v>
      </c>
      <c r="F2" s="3">
        <v>0.566</v>
      </c>
      <c r="G2" s="3">
        <v>2.135</v>
      </c>
      <c r="H2" s="3">
        <v>1.105</v>
      </c>
      <c r="I2" s="3">
        <f t="shared" ref="I2:I10" si="1">C2+D2</f>
        <v>9.013</v>
      </c>
      <c r="J2" s="3">
        <f t="shared" ref="J2:J10" si="2">B2/I2</f>
        <v>3.965383335</v>
      </c>
      <c r="K2" s="3">
        <f t="shared" ref="K2:K10" si="3">F2/G2</f>
        <v>0.2651053864</v>
      </c>
    </row>
    <row r="3">
      <c r="A3" s="2">
        <v>2.0</v>
      </c>
      <c r="B3" s="3">
        <v>45.275</v>
      </c>
      <c r="C3" s="3">
        <v>4.695</v>
      </c>
      <c r="D3" s="3">
        <v>5.604</v>
      </c>
      <c r="E3" s="3">
        <v>3.786</v>
      </c>
      <c r="F3" s="3">
        <v>0.742</v>
      </c>
      <c r="G3" s="3">
        <v>2.839</v>
      </c>
      <c r="H3" s="3">
        <v>3.599</v>
      </c>
      <c r="I3" s="3">
        <f t="shared" si="1"/>
        <v>10.299</v>
      </c>
      <c r="J3" s="3">
        <f t="shared" si="2"/>
        <v>4.39605787</v>
      </c>
      <c r="K3" s="3">
        <f t="shared" si="3"/>
        <v>0.2613596337</v>
      </c>
    </row>
    <row r="4">
      <c r="A4" s="2">
        <v>3.0</v>
      </c>
      <c r="B4" s="3">
        <v>45.209</v>
      </c>
      <c r="C4" s="3">
        <v>4.521</v>
      </c>
      <c r="D4" s="3">
        <v>5.037</v>
      </c>
      <c r="E4" s="3">
        <v>3.409</v>
      </c>
      <c r="F4" s="3">
        <v>0.803</v>
      </c>
      <c r="G4" s="3">
        <v>2.495</v>
      </c>
      <c r="H4" s="3">
        <v>2.113</v>
      </c>
      <c r="I4" s="3">
        <f t="shared" si="1"/>
        <v>9.558</v>
      </c>
      <c r="J4" s="3">
        <f t="shared" si="2"/>
        <v>4.729964428</v>
      </c>
      <c r="K4" s="3">
        <f t="shared" si="3"/>
        <v>0.3218436874</v>
      </c>
    </row>
    <row r="5">
      <c r="A5" s="2">
        <v>4.0</v>
      </c>
      <c r="B5" s="3">
        <v>46.643</v>
      </c>
      <c r="C5" s="3">
        <v>4.494</v>
      </c>
      <c r="D5" s="3">
        <v>4.025</v>
      </c>
      <c r="E5" s="3">
        <v>4.782</v>
      </c>
      <c r="F5" s="3">
        <v>0.659</v>
      </c>
      <c r="G5" s="3">
        <v>1.909</v>
      </c>
      <c r="H5" s="3">
        <v>1.859</v>
      </c>
      <c r="I5" s="3">
        <f t="shared" si="1"/>
        <v>8.519</v>
      </c>
      <c r="J5" s="3">
        <f t="shared" si="2"/>
        <v>5.475173142</v>
      </c>
      <c r="K5" s="3">
        <f t="shared" si="3"/>
        <v>0.3452069146</v>
      </c>
    </row>
    <row r="6">
      <c r="A6" s="2">
        <v>5.0</v>
      </c>
      <c r="B6" s="3">
        <v>46.203</v>
      </c>
      <c r="C6" s="3">
        <v>4.561</v>
      </c>
      <c r="D6" s="3">
        <v>4.361</v>
      </c>
      <c r="E6" s="3">
        <v>3.541</v>
      </c>
      <c r="F6" s="3">
        <v>0.569</v>
      </c>
      <c r="G6" s="3">
        <v>1.952</v>
      </c>
      <c r="H6" s="3">
        <v>2.061</v>
      </c>
      <c r="I6" s="3">
        <f t="shared" si="1"/>
        <v>8.922</v>
      </c>
      <c r="J6" s="3">
        <f t="shared" si="2"/>
        <v>5.178547411</v>
      </c>
      <c r="K6" s="3">
        <f t="shared" si="3"/>
        <v>0.2914959016</v>
      </c>
    </row>
    <row r="7">
      <c r="A7" s="2">
        <v>6.0</v>
      </c>
      <c r="B7" s="3">
        <v>37.593</v>
      </c>
      <c r="C7" s="3">
        <v>4.774</v>
      </c>
      <c r="D7" s="3">
        <v>5.634</v>
      </c>
      <c r="E7" s="3">
        <v>3.525</v>
      </c>
      <c r="F7" s="3">
        <v>0.503</v>
      </c>
      <c r="G7" s="3">
        <v>1.953</v>
      </c>
      <c r="H7" s="3">
        <v>1.38</v>
      </c>
      <c r="I7" s="3">
        <f t="shared" si="1"/>
        <v>10.408</v>
      </c>
      <c r="J7" s="3">
        <f t="shared" si="2"/>
        <v>3.611933128</v>
      </c>
      <c r="K7" s="3">
        <f t="shared" si="3"/>
        <v>0.2575524834</v>
      </c>
    </row>
    <row r="8">
      <c r="A8" s="2">
        <v>7.0</v>
      </c>
      <c r="B8" s="3">
        <v>46.292</v>
      </c>
      <c r="C8" s="3">
        <v>4.337</v>
      </c>
      <c r="D8" s="3">
        <v>4.482</v>
      </c>
      <c r="E8" s="3">
        <v>4.405</v>
      </c>
      <c r="F8" s="3">
        <v>0.627</v>
      </c>
      <c r="G8" s="3">
        <v>2.105</v>
      </c>
      <c r="H8" s="3">
        <v>1.64</v>
      </c>
      <c r="I8" s="3">
        <f t="shared" si="1"/>
        <v>8.819</v>
      </c>
      <c r="J8" s="3">
        <f t="shared" si="2"/>
        <v>5.249121216</v>
      </c>
      <c r="K8" s="3">
        <f t="shared" si="3"/>
        <v>0.2978622328</v>
      </c>
    </row>
    <row r="9">
      <c r="A9" s="2">
        <v>8.0</v>
      </c>
      <c r="B9" s="3">
        <v>43.222</v>
      </c>
      <c r="C9" s="3">
        <v>4.666</v>
      </c>
      <c r="D9" s="3">
        <v>5.105</v>
      </c>
      <c r="E9" s="3">
        <v>2.354</v>
      </c>
      <c r="F9" s="3">
        <v>0.644</v>
      </c>
      <c r="G9" s="3">
        <v>2.271</v>
      </c>
      <c r="H9" s="3">
        <v>2.542</v>
      </c>
      <c r="I9" s="3">
        <f t="shared" si="1"/>
        <v>9.771</v>
      </c>
      <c r="J9" s="3">
        <f t="shared" si="2"/>
        <v>4.423498107</v>
      </c>
      <c r="K9" s="3">
        <f t="shared" si="3"/>
        <v>0.2835755174</v>
      </c>
    </row>
    <row r="10">
      <c r="A10" s="2">
        <v>9.0</v>
      </c>
      <c r="B10" s="3">
        <v>56.533</v>
      </c>
      <c r="C10" s="3">
        <v>5.372</v>
      </c>
      <c r="D10" s="3">
        <v>6.275</v>
      </c>
      <c r="E10" s="3">
        <v>4.595</v>
      </c>
      <c r="F10" s="3">
        <v>0.785</v>
      </c>
      <c r="G10" s="3">
        <v>2.101</v>
      </c>
      <c r="H10" s="3">
        <v>2.555</v>
      </c>
      <c r="I10" s="3">
        <f t="shared" si="1"/>
        <v>11.647</v>
      </c>
      <c r="J10" s="3">
        <f t="shared" si="2"/>
        <v>4.853867949</v>
      </c>
      <c r="K10" s="3">
        <f t="shared" si="3"/>
        <v>0.373631604</v>
      </c>
    </row>
    <row r="11">
      <c r="A11" s="2" t="s">
        <v>19</v>
      </c>
      <c r="B11" s="3">
        <f t="shared" ref="B11:K11" si="4">AVERAGE(B2:B10)</f>
        <v>44.74555556</v>
      </c>
      <c r="C11" s="3">
        <f t="shared" si="4"/>
        <v>4.630111111</v>
      </c>
      <c r="D11" s="3">
        <f t="shared" si="4"/>
        <v>5.031666667</v>
      </c>
      <c r="E11" s="3">
        <f t="shared" si="4"/>
        <v>3.778777778</v>
      </c>
      <c r="F11" s="3">
        <f t="shared" si="4"/>
        <v>0.6553333333</v>
      </c>
      <c r="G11" s="3">
        <f t="shared" si="4"/>
        <v>2.195555556</v>
      </c>
      <c r="H11" s="3">
        <f t="shared" si="4"/>
        <v>2.094888889</v>
      </c>
      <c r="I11" s="3">
        <f t="shared" si="4"/>
        <v>9.661777778</v>
      </c>
      <c r="J11" s="3">
        <f t="shared" si="4"/>
        <v>4.653727398</v>
      </c>
      <c r="K11" s="3">
        <f t="shared" si="4"/>
        <v>0.2997370401</v>
      </c>
    </row>
    <row r="12">
      <c r="A12" s="2" t="s">
        <v>20</v>
      </c>
      <c r="B12" s="3">
        <f t="shared" ref="B12:K12" si="5">STDEV(B2:B10)</f>
        <v>5.938593817</v>
      </c>
      <c r="C12" s="3">
        <f t="shared" si="5"/>
        <v>0.324316375</v>
      </c>
      <c r="D12" s="3">
        <f t="shared" si="5"/>
        <v>0.7141148367</v>
      </c>
      <c r="E12" s="3">
        <f t="shared" si="5"/>
        <v>0.7399631372</v>
      </c>
      <c r="F12" s="3">
        <f t="shared" si="5"/>
        <v>0.1035096614</v>
      </c>
      <c r="G12" s="3">
        <f t="shared" si="5"/>
        <v>0.302170114</v>
      </c>
      <c r="H12" s="3">
        <f t="shared" si="5"/>
        <v>0.7440556841</v>
      </c>
      <c r="I12" s="3">
        <f t="shared" si="5"/>
        <v>0.9944285768</v>
      </c>
      <c r="J12" s="3">
        <f t="shared" si="5"/>
        <v>0.6153376351</v>
      </c>
      <c r="K12" s="3">
        <f t="shared" si="5"/>
        <v>0.04000149932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49.086</v>
      </c>
      <c r="C2" s="3">
        <v>5.09</v>
      </c>
      <c r="D2" s="3">
        <v>8.345</v>
      </c>
      <c r="E2" s="3">
        <v>3.452</v>
      </c>
      <c r="F2" s="3">
        <v>0.552</v>
      </c>
      <c r="G2" s="3">
        <v>3.343</v>
      </c>
      <c r="H2" s="3">
        <v>1.705</v>
      </c>
      <c r="I2" s="3">
        <f t="shared" ref="I2:I31" si="1">C2+D2</f>
        <v>13.435</v>
      </c>
      <c r="J2" s="3">
        <f t="shared" ref="J2:J31" si="2">B2/I2</f>
        <v>3.653591366</v>
      </c>
      <c r="K2" s="3">
        <f t="shared" ref="K2:K31" si="3">F2/G2</f>
        <v>0.1651211487</v>
      </c>
    </row>
    <row r="3">
      <c r="A3" s="2">
        <v>2.0</v>
      </c>
      <c r="B3" s="3">
        <v>47.925</v>
      </c>
      <c r="C3" s="3">
        <v>4.709</v>
      </c>
      <c r="D3" s="3">
        <v>7.289</v>
      </c>
      <c r="E3" s="3">
        <v>3.176</v>
      </c>
      <c r="F3" s="3">
        <v>0.469</v>
      </c>
      <c r="G3" s="3">
        <v>3.023</v>
      </c>
      <c r="H3" s="3">
        <v>1.421</v>
      </c>
      <c r="I3" s="3">
        <f t="shared" si="1"/>
        <v>11.998</v>
      </c>
      <c r="J3" s="3">
        <f t="shared" si="2"/>
        <v>3.994415736</v>
      </c>
      <c r="K3" s="3">
        <f t="shared" si="3"/>
        <v>0.1551438968</v>
      </c>
    </row>
    <row r="4">
      <c r="A4" s="2">
        <v>3.0</v>
      </c>
      <c r="B4" s="3">
        <v>51.125</v>
      </c>
      <c r="C4" s="3">
        <v>5.35</v>
      </c>
      <c r="D4" s="3">
        <v>8.343</v>
      </c>
      <c r="E4" s="3">
        <v>4.141</v>
      </c>
      <c r="F4" s="3">
        <v>0.431</v>
      </c>
      <c r="G4" s="3">
        <v>3.464</v>
      </c>
      <c r="H4" s="3">
        <v>2.378</v>
      </c>
      <c r="I4" s="3">
        <f t="shared" si="1"/>
        <v>13.693</v>
      </c>
      <c r="J4" s="3">
        <f t="shared" si="2"/>
        <v>3.733659534</v>
      </c>
      <c r="K4" s="3">
        <f t="shared" si="3"/>
        <v>0.1244226328</v>
      </c>
    </row>
    <row r="5">
      <c r="A5" s="2">
        <v>4.0</v>
      </c>
      <c r="B5" s="3">
        <v>47.797</v>
      </c>
      <c r="C5" s="3">
        <v>5.335</v>
      </c>
      <c r="D5" s="3">
        <v>8.2828</v>
      </c>
      <c r="E5" s="3">
        <v>3.507</v>
      </c>
      <c r="F5" s="3">
        <v>0.407</v>
      </c>
      <c r="G5" s="3">
        <v>3.308</v>
      </c>
      <c r="H5" s="3">
        <v>1.942</v>
      </c>
      <c r="I5" s="3">
        <f t="shared" si="1"/>
        <v>13.6178</v>
      </c>
      <c r="J5" s="3">
        <f t="shared" si="2"/>
        <v>3.509891466</v>
      </c>
      <c r="K5" s="3">
        <f t="shared" si="3"/>
        <v>0.1230350665</v>
      </c>
    </row>
    <row r="6">
      <c r="A6" s="2">
        <v>5.0</v>
      </c>
      <c r="B6" s="3">
        <v>45.005</v>
      </c>
      <c r="C6" s="3">
        <v>5.128</v>
      </c>
      <c r="D6" s="3">
        <v>7.983</v>
      </c>
      <c r="E6" s="3">
        <v>3.346</v>
      </c>
      <c r="F6" s="3">
        <v>0.431</v>
      </c>
      <c r="G6" s="3">
        <v>3.242</v>
      </c>
      <c r="H6" s="3">
        <v>1.953</v>
      </c>
      <c r="I6" s="3">
        <f t="shared" si="1"/>
        <v>13.111</v>
      </c>
      <c r="J6" s="3">
        <f t="shared" si="2"/>
        <v>3.432613836</v>
      </c>
      <c r="K6" s="3">
        <f t="shared" si="3"/>
        <v>0.132942628</v>
      </c>
    </row>
    <row r="7">
      <c r="A7" s="2">
        <v>6.0</v>
      </c>
      <c r="B7" s="3">
        <v>54.416</v>
      </c>
      <c r="C7" s="3">
        <v>5.283</v>
      </c>
      <c r="D7" s="3">
        <v>9.125</v>
      </c>
      <c r="E7" s="3">
        <v>3.874</v>
      </c>
      <c r="F7" s="3">
        <v>0.475</v>
      </c>
      <c r="G7" s="3">
        <v>3.428</v>
      </c>
      <c r="H7" s="3">
        <v>2.033</v>
      </c>
      <c r="I7" s="3">
        <f t="shared" si="1"/>
        <v>14.408</v>
      </c>
      <c r="J7" s="3">
        <f t="shared" si="2"/>
        <v>3.776790672</v>
      </c>
      <c r="K7" s="3">
        <f t="shared" si="3"/>
        <v>0.1385647608</v>
      </c>
    </row>
    <row r="8">
      <c r="A8" s="2">
        <v>7.0</v>
      </c>
      <c r="B8" s="3">
        <v>38.237</v>
      </c>
      <c r="C8" s="3">
        <v>4.015</v>
      </c>
      <c r="D8" s="3">
        <v>7.589</v>
      </c>
      <c r="E8" s="3">
        <v>2.824</v>
      </c>
      <c r="F8" s="3">
        <v>0.32</v>
      </c>
      <c r="G8" s="3">
        <v>2.772</v>
      </c>
      <c r="H8" s="3">
        <v>1.588</v>
      </c>
      <c r="I8" s="3">
        <f t="shared" si="1"/>
        <v>11.604</v>
      </c>
      <c r="J8" s="3">
        <f t="shared" si="2"/>
        <v>3.295156842</v>
      </c>
      <c r="K8" s="3">
        <f t="shared" si="3"/>
        <v>0.1154401154</v>
      </c>
    </row>
    <row r="9">
      <c r="A9" s="2">
        <v>8.0</v>
      </c>
      <c r="B9" s="3">
        <v>47.167</v>
      </c>
      <c r="C9" s="3">
        <v>5.344</v>
      </c>
      <c r="D9" s="3">
        <v>7.734</v>
      </c>
      <c r="E9" s="3">
        <v>3.948</v>
      </c>
      <c r="F9" s="3">
        <v>0.488</v>
      </c>
      <c r="G9" s="3">
        <v>3.206</v>
      </c>
      <c r="H9" s="3">
        <v>1.919</v>
      </c>
      <c r="I9" s="3">
        <f t="shared" si="1"/>
        <v>13.078</v>
      </c>
      <c r="J9" s="3">
        <f t="shared" si="2"/>
        <v>3.606591222</v>
      </c>
      <c r="K9" s="3">
        <f t="shared" si="3"/>
        <v>0.1522145976</v>
      </c>
    </row>
    <row r="10">
      <c r="A10" s="2">
        <v>9.0</v>
      </c>
      <c r="B10" s="3">
        <v>32.611</v>
      </c>
      <c r="C10" s="3">
        <v>4.161</v>
      </c>
      <c r="D10" s="3">
        <v>6.418</v>
      </c>
      <c r="E10" s="3">
        <v>2.63</v>
      </c>
      <c r="F10" s="3">
        <v>0.242</v>
      </c>
      <c r="G10" s="3">
        <v>2.058</v>
      </c>
      <c r="H10" s="3">
        <v>1.135</v>
      </c>
      <c r="I10" s="3">
        <f t="shared" si="1"/>
        <v>10.579</v>
      </c>
      <c r="J10" s="3">
        <f t="shared" si="2"/>
        <v>3.082616504</v>
      </c>
      <c r="K10" s="3">
        <f t="shared" si="3"/>
        <v>0.1175898931</v>
      </c>
    </row>
    <row r="11">
      <c r="A11" s="2">
        <v>10.0</v>
      </c>
      <c r="B11" s="4">
        <v>60.385</v>
      </c>
      <c r="C11" s="4">
        <v>4.823</v>
      </c>
      <c r="D11" s="4">
        <v>8.06</v>
      </c>
      <c r="E11" s="4">
        <v>3.01</v>
      </c>
      <c r="F11" s="4">
        <v>0.497</v>
      </c>
      <c r="G11" s="4">
        <v>2.872</v>
      </c>
      <c r="H11" s="4">
        <v>2.186</v>
      </c>
      <c r="I11" s="3">
        <f t="shared" si="1"/>
        <v>12.883</v>
      </c>
      <c r="J11" s="3">
        <f t="shared" si="2"/>
        <v>4.687184662</v>
      </c>
      <c r="K11" s="3">
        <f t="shared" si="3"/>
        <v>0.1730501393</v>
      </c>
    </row>
    <row r="12">
      <c r="A12" s="2">
        <v>11.0</v>
      </c>
      <c r="B12" s="4">
        <v>38.37</v>
      </c>
      <c r="C12" s="4">
        <v>4.152</v>
      </c>
      <c r="D12" s="4">
        <v>6.9</v>
      </c>
      <c r="E12" s="4">
        <v>3.365</v>
      </c>
      <c r="F12" s="4">
        <v>0.457</v>
      </c>
      <c r="G12" s="4">
        <v>2.846</v>
      </c>
      <c r="H12" s="4">
        <v>1.267</v>
      </c>
      <c r="I12" s="3">
        <f t="shared" si="1"/>
        <v>11.052</v>
      </c>
      <c r="J12" s="3">
        <f t="shared" si="2"/>
        <v>3.471769815</v>
      </c>
      <c r="K12" s="3">
        <f t="shared" si="3"/>
        <v>0.1605762474</v>
      </c>
    </row>
    <row r="13">
      <c r="A13" s="2">
        <v>12.0</v>
      </c>
      <c r="B13" s="4">
        <v>48.856</v>
      </c>
      <c r="C13" s="4">
        <v>4.823</v>
      </c>
      <c r="D13" s="4">
        <v>7.789</v>
      </c>
      <c r="E13" s="4">
        <v>3.972</v>
      </c>
      <c r="F13" s="4">
        <v>0.494</v>
      </c>
      <c r="G13" s="4">
        <v>3.214</v>
      </c>
      <c r="H13" s="4">
        <v>2.081</v>
      </c>
      <c r="I13" s="3">
        <f t="shared" si="1"/>
        <v>12.612</v>
      </c>
      <c r="J13" s="3">
        <f t="shared" si="2"/>
        <v>3.873771012</v>
      </c>
      <c r="K13" s="3">
        <f t="shared" si="3"/>
        <v>0.1537025513</v>
      </c>
    </row>
    <row r="14">
      <c r="A14" s="2">
        <v>13.0</v>
      </c>
      <c r="B14" s="4">
        <v>49.433</v>
      </c>
      <c r="C14" s="4">
        <v>4.925</v>
      </c>
      <c r="D14" s="4">
        <v>7.517</v>
      </c>
      <c r="E14" s="4">
        <v>3.169</v>
      </c>
      <c r="F14" s="4">
        <v>0.649</v>
      </c>
      <c r="G14" s="4">
        <v>3.222</v>
      </c>
      <c r="H14" s="4">
        <v>1.555</v>
      </c>
      <c r="I14" s="3">
        <f t="shared" si="1"/>
        <v>12.442</v>
      </c>
      <c r="J14" s="3">
        <f t="shared" si="2"/>
        <v>3.973075068</v>
      </c>
      <c r="K14" s="3">
        <f t="shared" si="3"/>
        <v>0.2014276847</v>
      </c>
    </row>
    <row r="15">
      <c r="A15" s="2">
        <v>14.0</v>
      </c>
      <c r="B15" s="4">
        <v>33.589</v>
      </c>
      <c r="C15" s="4">
        <v>4.416</v>
      </c>
      <c r="D15" s="4">
        <v>6.695</v>
      </c>
      <c r="E15" s="4">
        <v>2.914</v>
      </c>
      <c r="F15" s="4">
        <v>0.386</v>
      </c>
      <c r="G15" s="4">
        <v>3.023</v>
      </c>
      <c r="H15" s="4">
        <v>1.185</v>
      </c>
      <c r="I15" s="3">
        <f t="shared" si="1"/>
        <v>11.111</v>
      </c>
      <c r="J15" s="3">
        <f t="shared" si="2"/>
        <v>3.02304023</v>
      </c>
      <c r="K15" s="3">
        <f t="shared" si="3"/>
        <v>0.1276877274</v>
      </c>
    </row>
    <row r="16">
      <c r="A16" s="2">
        <v>15.0</v>
      </c>
      <c r="B16" s="4">
        <v>46.973</v>
      </c>
      <c r="C16" s="4">
        <v>5.216</v>
      </c>
      <c r="D16" s="4">
        <v>8.218</v>
      </c>
      <c r="E16" s="4">
        <v>3.326</v>
      </c>
      <c r="F16" s="4">
        <v>0.341</v>
      </c>
      <c r="G16" s="4">
        <v>3.507</v>
      </c>
      <c r="H16" s="4">
        <v>2.003</v>
      </c>
      <c r="I16" s="3">
        <f t="shared" si="1"/>
        <v>13.434</v>
      </c>
      <c r="J16" s="3">
        <f t="shared" si="2"/>
        <v>3.496575852</v>
      </c>
      <c r="K16" s="3">
        <f t="shared" si="3"/>
        <v>0.09723410322</v>
      </c>
    </row>
    <row r="17">
      <c r="A17" s="2">
        <v>16.0</v>
      </c>
      <c r="B17" s="4">
        <v>36.237</v>
      </c>
      <c r="C17" s="4">
        <v>4.934</v>
      </c>
      <c r="D17" s="4">
        <v>6.854</v>
      </c>
      <c r="E17" s="4">
        <v>3.002</v>
      </c>
      <c r="F17" s="4">
        <v>0.284</v>
      </c>
      <c r="G17" s="4">
        <v>2.946</v>
      </c>
      <c r="H17" s="4">
        <v>0.849</v>
      </c>
      <c r="I17" s="3">
        <f t="shared" si="1"/>
        <v>11.788</v>
      </c>
      <c r="J17" s="3">
        <f t="shared" si="2"/>
        <v>3.074058364</v>
      </c>
      <c r="K17" s="3">
        <f t="shared" si="3"/>
        <v>0.09640190088</v>
      </c>
    </row>
    <row r="18">
      <c r="A18" s="2">
        <v>17.0</v>
      </c>
      <c r="B18" s="4">
        <v>62.617</v>
      </c>
      <c r="C18" s="4">
        <v>5.343</v>
      </c>
      <c r="D18" s="4">
        <v>8.167</v>
      </c>
      <c r="E18" s="4">
        <v>4.358</v>
      </c>
      <c r="F18" s="4">
        <v>0.4</v>
      </c>
      <c r="G18" s="4">
        <v>3.656</v>
      </c>
      <c r="H18" s="4">
        <v>2.277</v>
      </c>
      <c r="I18" s="3">
        <f t="shared" si="1"/>
        <v>13.51</v>
      </c>
      <c r="J18" s="3">
        <f t="shared" si="2"/>
        <v>4.634863064</v>
      </c>
      <c r="K18" s="3">
        <f t="shared" si="3"/>
        <v>0.1094091904</v>
      </c>
    </row>
    <row r="19">
      <c r="A19" s="2">
        <v>18.0</v>
      </c>
      <c r="B19" s="4">
        <v>67.644</v>
      </c>
      <c r="C19" s="4">
        <v>5.799</v>
      </c>
      <c r="D19" s="4">
        <v>8.825</v>
      </c>
      <c r="E19" s="4">
        <v>3.927</v>
      </c>
      <c r="F19" s="4">
        <v>0.513</v>
      </c>
      <c r="G19" s="4">
        <v>4.025</v>
      </c>
      <c r="H19" s="4">
        <v>2.203</v>
      </c>
      <c r="I19" s="3">
        <f t="shared" si="1"/>
        <v>14.624</v>
      </c>
      <c r="J19" s="3">
        <f t="shared" si="2"/>
        <v>4.625547046</v>
      </c>
      <c r="K19" s="3">
        <f t="shared" si="3"/>
        <v>0.1274534161</v>
      </c>
    </row>
    <row r="20">
      <c r="A20" s="2">
        <v>19.0</v>
      </c>
      <c r="B20" s="4">
        <v>58.048</v>
      </c>
      <c r="C20" s="4">
        <v>6.275</v>
      </c>
      <c r="D20" s="4">
        <v>9.476</v>
      </c>
      <c r="E20" s="4">
        <v>3.517</v>
      </c>
      <c r="F20" s="4">
        <v>0.55</v>
      </c>
      <c r="G20" s="4">
        <v>3.451</v>
      </c>
      <c r="H20" s="4">
        <v>2.01</v>
      </c>
      <c r="I20" s="3">
        <f t="shared" si="1"/>
        <v>15.751</v>
      </c>
      <c r="J20" s="3">
        <f t="shared" si="2"/>
        <v>3.685353311</v>
      </c>
      <c r="K20" s="3">
        <f t="shared" si="3"/>
        <v>0.1593740945</v>
      </c>
    </row>
    <row r="21" ht="15.75" customHeight="1">
      <c r="A21" s="2">
        <v>20.0</v>
      </c>
      <c r="B21" s="4">
        <v>64.048</v>
      </c>
      <c r="C21" s="4">
        <v>6.172</v>
      </c>
      <c r="D21" s="4">
        <v>9.795</v>
      </c>
      <c r="E21" s="4">
        <v>4.394</v>
      </c>
      <c r="F21" s="4">
        <v>0.424</v>
      </c>
      <c r="G21" s="4">
        <v>4.121</v>
      </c>
      <c r="H21" s="4">
        <v>2.577</v>
      </c>
      <c r="I21" s="3">
        <f t="shared" si="1"/>
        <v>15.967</v>
      </c>
      <c r="J21" s="3">
        <f t="shared" si="2"/>
        <v>4.011273251</v>
      </c>
      <c r="K21" s="3">
        <f t="shared" si="3"/>
        <v>0.1028876486</v>
      </c>
    </row>
    <row r="22" ht="15.75" customHeight="1">
      <c r="A22" s="2">
        <v>21.0</v>
      </c>
      <c r="B22" s="4">
        <v>58.737</v>
      </c>
      <c r="C22" s="4">
        <v>5.836</v>
      </c>
      <c r="D22" s="4">
        <v>9.111</v>
      </c>
      <c r="E22" s="4">
        <v>4.184</v>
      </c>
      <c r="F22" s="4">
        <v>0.515</v>
      </c>
      <c r="G22" s="4">
        <v>3.699</v>
      </c>
      <c r="H22" s="4">
        <v>2.955</v>
      </c>
      <c r="I22" s="3">
        <f t="shared" si="1"/>
        <v>14.947</v>
      </c>
      <c r="J22" s="3">
        <f t="shared" si="2"/>
        <v>3.929684887</v>
      </c>
      <c r="K22" s="3">
        <f t="shared" si="3"/>
        <v>0.1392268181</v>
      </c>
    </row>
    <row r="23" ht="15.75" customHeight="1">
      <c r="A23" s="2">
        <v>22.0</v>
      </c>
      <c r="B23" s="4">
        <v>50.799</v>
      </c>
      <c r="C23" s="4">
        <v>5.569</v>
      </c>
      <c r="D23" s="4">
        <v>7.758</v>
      </c>
      <c r="E23" s="4">
        <v>3.636</v>
      </c>
      <c r="F23" s="4">
        <v>0.499</v>
      </c>
      <c r="G23" s="4">
        <v>3.815</v>
      </c>
      <c r="H23" s="4">
        <v>1.731</v>
      </c>
      <c r="I23" s="3">
        <f t="shared" si="1"/>
        <v>13.327</v>
      </c>
      <c r="J23" s="3">
        <f t="shared" si="2"/>
        <v>3.811735574</v>
      </c>
      <c r="K23" s="3">
        <f t="shared" si="3"/>
        <v>0.1307994758</v>
      </c>
    </row>
    <row r="24" ht="15.75" customHeight="1">
      <c r="A24" s="2">
        <v>23.0</v>
      </c>
      <c r="B24" s="4">
        <v>34.292</v>
      </c>
      <c r="C24" s="4">
        <v>4.39</v>
      </c>
      <c r="D24" s="4">
        <v>7.327</v>
      </c>
      <c r="E24" s="4">
        <v>2.761</v>
      </c>
      <c r="F24" s="4">
        <v>0.527</v>
      </c>
      <c r="G24" s="4">
        <v>2.749</v>
      </c>
      <c r="H24" s="4">
        <v>1.38</v>
      </c>
      <c r="I24" s="3">
        <f t="shared" si="1"/>
        <v>11.717</v>
      </c>
      <c r="J24" s="3">
        <f t="shared" si="2"/>
        <v>2.926687719</v>
      </c>
      <c r="K24" s="3">
        <f t="shared" si="3"/>
        <v>0.1917060749</v>
      </c>
    </row>
    <row r="25" ht="15.75" customHeight="1">
      <c r="A25" s="2">
        <v>24.0</v>
      </c>
      <c r="B25" s="4">
        <v>43.7</v>
      </c>
      <c r="C25" s="4">
        <v>5.388</v>
      </c>
      <c r="D25" s="4">
        <v>7.923</v>
      </c>
      <c r="E25" s="4">
        <v>3.357</v>
      </c>
      <c r="F25" s="4">
        <v>0.453</v>
      </c>
      <c r="G25" s="4">
        <v>3.553</v>
      </c>
      <c r="H25" s="4">
        <v>1.519</v>
      </c>
      <c r="I25" s="3">
        <f t="shared" si="1"/>
        <v>13.311</v>
      </c>
      <c r="J25" s="3">
        <f t="shared" si="2"/>
        <v>3.282999023</v>
      </c>
      <c r="K25" s="3">
        <f t="shared" si="3"/>
        <v>0.1274978891</v>
      </c>
    </row>
    <row r="26" ht="15.75" customHeight="1">
      <c r="A26" s="2">
        <v>25.0</v>
      </c>
      <c r="B26" s="4">
        <v>54.286</v>
      </c>
      <c r="C26" s="4">
        <v>5.672</v>
      </c>
      <c r="D26" s="4">
        <v>8.849</v>
      </c>
      <c r="E26" s="4">
        <v>4.016</v>
      </c>
      <c r="F26" s="4">
        <v>0.537</v>
      </c>
      <c r="G26" s="4">
        <v>3.75</v>
      </c>
      <c r="H26" s="4">
        <v>2.615</v>
      </c>
      <c r="I26" s="3">
        <f t="shared" si="1"/>
        <v>14.521</v>
      </c>
      <c r="J26" s="3">
        <f t="shared" si="2"/>
        <v>3.738447765</v>
      </c>
      <c r="K26" s="3">
        <f t="shared" si="3"/>
        <v>0.1432</v>
      </c>
    </row>
    <row r="27" ht="15.75" customHeight="1">
      <c r="A27" s="2">
        <v>26.0</v>
      </c>
      <c r="B27" s="4">
        <v>55.698</v>
      </c>
      <c r="C27" s="4">
        <v>5.387</v>
      </c>
      <c r="D27" s="4">
        <v>8.669</v>
      </c>
      <c r="E27" s="4">
        <v>4.501</v>
      </c>
      <c r="F27" s="4">
        <v>0.589</v>
      </c>
      <c r="G27" s="4">
        <v>3.784</v>
      </c>
      <c r="H27" s="4">
        <v>2.685</v>
      </c>
      <c r="I27" s="3">
        <f t="shared" si="1"/>
        <v>14.056</v>
      </c>
      <c r="J27" s="3">
        <f t="shared" si="2"/>
        <v>3.962578258</v>
      </c>
      <c r="K27" s="3">
        <f t="shared" si="3"/>
        <v>0.1556553911</v>
      </c>
    </row>
    <row r="28" ht="15.75" customHeight="1">
      <c r="A28" s="2">
        <v>27.0</v>
      </c>
      <c r="B28" s="4">
        <v>43.957</v>
      </c>
      <c r="C28" s="4">
        <v>5.235</v>
      </c>
      <c r="D28" s="4">
        <v>7.15</v>
      </c>
      <c r="E28" s="4">
        <v>3.492</v>
      </c>
      <c r="F28" s="4">
        <v>0.403</v>
      </c>
      <c r="G28" s="4">
        <v>3.382</v>
      </c>
      <c r="H28" s="4">
        <v>1.831</v>
      </c>
      <c r="I28" s="3">
        <f t="shared" si="1"/>
        <v>12.385</v>
      </c>
      <c r="J28" s="3">
        <f t="shared" si="2"/>
        <v>3.549212757</v>
      </c>
      <c r="K28" s="3">
        <f t="shared" si="3"/>
        <v>0.1191602602</v>
      </c>
    </row>
    <row r="29" ht="15.75" customHeight="1">
      <c r="A29" s="2">
        <v>28.0</v>
      </c>
      <c r="B29" s="4">
        <v>35.576</v>
      </c>
      <c r="C29" s="4">
        <v>4.209</v>
      </c>
      <c r="D29" s="4">
        <v>6.29</v>
      </c>
      <c r="E29" s="4">
        <v>2.981</v>
      </c>
      <c r="F29" s="4">
        <v>0.464</v>
      </c>
      <c r="G29" s="4">
        <v>2.547</v>
      </c>
      <c r="H29" s="4">
        <v>1.408</v>
      </c>
      <c r="I29" s="3">
        <f t="shared" si="1"/>
        <v>10.499</v>
      </c>
      <c r="J29" s="3">
        <f t="shared" si="2"/>
        <v>3.388513192</v>
      </c>
      <c r="K29" s="3">
        <f t="shared" si="3"/>
        <v>0.182175108</v>
      </c>
    </row>
    <row r="30" ht="15.75" customHeight="1">
      <c r="A30" s="2">
        <v>29.0</v>
      </c>
      <c r="B30" s="4">
        <v>54.885</v>
      </c>
      <c r="C30" s="4">
        <v>5.473</v>
      </c>
      <c r="D30" s="4">
        <v>7.453</v>
      </c>
      <c r="E30" s="4">
        <v>3.993</v>
      </c>
      <c r="F30" s="4">
        <v>0.384</v>
      </c>
      <c r="G30" s="4">
        <v>3.059</v>
      </c>
      <c r="H30" s="4">
        <v>1.742</v>
      </c>
      <c r="I30" s="3">
        <f t="shared" si="1"/>
        <v>12.926</v>
      </c>
      <c r="J30" s="3">
        <f t="shared" si="2"/>
        <v>4.246093146</v>
      </c>
      <c r="K30" s="3">
        <f t="shared" si="3"/>
        <v>0.1255312194</v>
      </c>
    </row>
    <row r="31" ht="15.75" customHeight="1">
      <c r="A31" s="2">
        <v>30.0</v>
      </c>
      <c r="B31" s="4">
        <v>58.349</v>
      </c>
      <c r="C31" s="4">
        <v>5.238</v>
      </c>
      <c r="D31" s="4">
        <v>8.0</v>
      </c>
      <c r="E31" s="4">
        <v>4.091</v>
      </c>
      <c r="F31" s="4">
        <v>0.629</v>
      </c>
      <c r="G31" s="4">
        <v>3.469</v>
      </c>
      <c r="H31" s="4">
        <v>2.189</v>
      </c>
      <c r="I31" s="3">
        <f t="shared" si="1"/>
        <v>13.238</v>
      </c>
      <c r="J31" s="3">
        <f t="shared" si="2"/>
        <v>4.407689983</v>
      </c>
      <c r="K31" s="3">
        <f t="shared" si="3"/>
        <v>0.1813202652</v>
      </c>
    </row>
    <row r="32" ht="15.75" customHeight="1">
      <c r="A32" s="2" t="s">
        <v>11</v>
      </c>
      <c r="B32" s="3">
        <f t="shared" ref="B32:K32" si="4">AVERAGE(B2:B31)</f>
        <v>48.99493333</v>
      </c>
      <c r="C32" s="3">
        <f t="shared" si="4"/>
        <v>5.123</v>
      </c>
      <c r="D32" s="3">
        <f t="shared" si="4"/>
        <v>7.93116</v>
      </c>
      <c r="E32" s="3">
        <f t="shared" si="4"/>
        <v>3.562133333</v>
      </c>
      <c r="F32" s="3">
        <f t="shared" si="4"/>
        <v>0.4603333333</v>
      </c>
      <c r="G32" s="3">
        <f t="shared" si="4"/>
        <v>3.284466667</v>
      </c>
      <c r="H32" s="3">
        <f t="shared" si="4"/>
        <v>1.8774</v>
      </c>
      <c r="I32" s="3">
        <f t="shared" si="4"/>
        <v>13.05416</v>
      </c>
      <c r="J32" s="3">
        <f t="shared" si="4"/>
        <v>3.729516039</v>
      </c>
      <c r="K32" s="3">
        <f t="shared" si="4"/>
        <v>0.1409983982</v>
      </c>
    </row>
    <row r="33" ht="15.75" customHeight="1">
      <c r="A33" s="2" t="s">
        <v>12</v>
      </c>
      <c r="B33" s="3">
        <f t="shared" ref="B33:K33" si="5">STDEV(B2:B31)</f>
        <v>9.598515029</v>
      </c>
      <c r="C33" s="3">
        <f t="shared" si="5"/>
        <v>0.5814736926</v>
      </c>
      <c r="D33" s="3">
        <f t="shared" si="5"/>
        <v>0.8753052959</v>
      </c>
      <c r="E33" s="3">
        <f t="shared" si="5"/>
        <v>0.5282979654</v>
      </c>
      <c r="F33" s="3">
        <f t="shared" si="5"/>
        <v>0.09378895359</v>
      </c>
      <c r="G33" s="3">
        <f t="shared" si="5"/>
        <v>0.4485330675</v>
      </c>
      <c r="H33" s="3">
        <f t="shared" si="5"/>
        <v>0.4979544087</v>
      </c>
      <c r="I33" s="3">
        <f t="shared" si="5"/>
        <v>1.393421003</v>
      </c>
      <c r="J33" s="3">
        <f t="shared" si="5"/>
        <v>0.4700726642</v>
      </c>
      <c r="K33" s="3">
        <f t="shared" si="5"/>
        <v>0.02765027632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10.049</v>
      </c>
      <c r="C2" s="3">
        <v>1.94</v>
      </c>
      <c r="D2" s="3">
        <v>3.184</v>
      </c>
      <c r="E2" s="3">
        <v>1.4</v>
      </c>
      <c r="F2" s="3">
        <v>0.287</v>
      </c>
      <c r="G2" s="3">
        <v>1.493</v>
      </c>
      <c r="H2" s="3">
        <v>0.213</v>
      </c>
      <c r="I2" s="3">
        <f t="shared" ref="I2:I30" si="1">C2+D2</f>
        <v>5.124</v>
      </c>
      <c r="J2" s="3">
        <f t="shared" ref="J2:J31" si="2">B2/I2</f>
        <v>1.961163154</v>
      </c>
      <c r="K2" s="3">
        <f t="shared" ref="K2:K31" si="3">F2/G2</f>
        <v>0.1922304086</v>
      </c>
    </row>
    <row r="3">
      <c r="A3" s="2">
        <v>2.0</v>
      </c>
      <c r="B3" s="3">
        <v>11.469</v>
      </c>
      <c r="C3" s="3">
        <v>2.072</v>
      </c>
      <c r="D3" s="3">
        <v>3.382</v>
      </c>
      <c r="E3" s="3">
        <v>1.401</v>
      </c>
      <c r="F3" s="3">
        <v>0.268</v>
      </c>
      <c r="G3" s="3">
        <v>1.618</v>
      </c>
      <c r="H3" s="3">
        <v>0.229</v>
      </c>
      <c r="I3" s="3">
        <f t="shared" si="1"/>
        <v>5.454</v>
      </c>
      <c r="J3" s="3">
        <f t="shared" si="2"/>
        <v>2.102860286</v>
      </c>
      <c r="K3" s="3">
        <f t="shared" si="3"/>
        <v>0.1656365884</v>
      </c>
    </row>
    <row r="4">
      <c r="A4" s="2">
        <v>3.0</v>
      </c>
      <c r="B4" s="3">
        <v>12.504</v>
      </c>
      <c r="C4" s="3">
        <v>2.616</v>
      </c>
      <c r="D4" s="3">
        <v>3.512</v>
      </c>
      <c r="E4" s="3">
        <v>1.393</v>
      </c>
      <c r="F4" s="3">
        <v>0.245</v>
      </c>
      <c r="G4" s="3">
        <v>1.624</v>
      </c>
      <c r="H4" s="3">
        <v>0.227</v>
      </c>
      <c r="I4" s="3">
        <f t="shared" si="1"/>
        <v>6.128</v>
      </c>
      <c r="J4" s="3">
        <f t="shared" si="2"/>
        <v>2.040469974</v>
      </c>
      <c r="K4" s="3">
        <f t="shared" si="3"/>
        <v>0.150862069</v>
      </c>
    </row>
    <row r="5">
      <c r="A5" s="2">
        <v>4.0</v>
      </c>
      <c r="B5" s="3">
        <v>12.147</v>
      </c>
      <c r="C5" s="3">
        <v>2.137</v>
      </c>
      <c r="D5" s="3">
        <v>3.381</v>
      </c>
      <c r="E5" s="3">
        <v>1.484</v>
      </c>
      <c r="F5" s="3">
        <v>0.238</v>
      </c>
      <c r="G5" s="3">
        <v>1.427</v>
      </c>
      <c r="H5" s="3">
        <v>0.236</v>
      </c>
      <c r="I5" s="3">
        <f t="shared" si="1"/>
        <v>5.518</v>
      </c>
      <c r="J5" s="3">
        <f t="shared" si="2"/>
        <v>2.201341066</v>
      </c>
      <c r="K5" s="3">
        <f t="shared" si="3"/>
        <v>0.1667834618</v>
      </c>
    </row>
    <row r="6">
      <c r="A6" s="2">
        <v>5.0</v>
      </c>
      <c r="B6" s="3">
        <v>9.346</v>
      </c>
      <c r="C6" s="3">
        <v>2.096</v>
      </c>
      <c r="D6" s="3">
        <v>3.45</v>
      </c>
      <c r="E6" s="3">
        <v>1.913</v>
      </c>
      <c r="F6" s="3">
        <v>0.233</v>
      </c>
      <c r="G6" s="3">
        <v>1.431</v>
      </c>
      <c r="H6" s="3">
        <v>0.293</v>
      </c>
      <c r="I6" s="3">
        <f t="shared" si="1"/>
        <v>5.546</v>
      </c>
      <c r="J6" s="3">
        <f t="shared" si="2"/>
        <v>1.685178507</v>
      </c>
      <c r="K6" s="3">
        <f t="shared" si="3"/>
        <v>0.1628232006</v>
      </c>
    </row>
    <row r="7">
      <c r="A7" s="2">
        <v>6.0</v>
      </c>
      <c r="B7" s="3">
        <v>10.404</v>
      </c>
      <c r="C7" s="3">
        <v>2.305</v>
      </c>
      <c r="D7" s="3">
        <v>3.907</v>
      </c>
      <c r="E7" s="3">
        <v>1.785</v>
      </c>
      <c r="F7" s="3">
        <v>0.374</v>
      </c>
      <c r="G7" s="3">
        <v>1.77</v>
      </c>
      <c r="H7" s="3">
        <v>0.433</v>
      </c>
      <c r="I7" s="3">
        <f t="shared" si="1"/>
        <v>6.212</v>
      </c>
      <c r="J7" s="3">
        <f t="shared" si="2"/>
        <v>1.674822923</v>
      </c>
      <c r="K7" s="3">
        <f t="shared" si="3"/>
        <v>0.211299435</v>
      </c>
    </row>
    <row r="8">
      <c r="A8" s="2">
        <v>7.0</v>
      </c>
      <c r="B8" s="3">
        <v>10.784</v>
      </c>
      <c r="C8" s="3">
        <v>2.286</v>
      </c>
      <c r="D8" s="3">
        <v>3.436</v>
      </c>
      <c r="E8" s="3">
        <v>1.5</v>
      </c>
      <c r="F8" s="3">
        <v>0.234</v>
      </c>
      <c r="G8" s="3">
        <v>1.573</v>
      </c>
      <c r="H8" s="3">
        <v>0.204</v>
      </c>
      <c r="I8" s="3">
        <f t="shared" si="1"/>
        <v>5.722</v>
      </c>
      <c r="J8" s="3">
        <f t="shared" si="2"/>
        <v>1.884655715</v>
      </c>
      <c r="K8" s="3">
        <f t="shared" si="3"/>
        <v>0.1487603306</v>
      </c>
    </row>
    <row r="9">
      <c r="A9" s="2">
        <v>8.0</v>
      </c>
      <c r="B9" s="3">
        <v>10.536</v>
      </c>
      <c r="C9" s="3">
        <v>2.239</v>
      </c>
      <c r="D9" s="3">
        <v>3.83</v>
      </c>
      <c r="E9" s="3">
        <v>1.78</v>
      </c>
      <c r="F9" s="3">
        <v>0.207</v>
      </c>
      <c r="G9" s="3">
        <v>1.788</v>
      </c>
      <c r="H9" s="3">
        <v>0.305</v>
      </c>
      <c r="I9" s="3">
        <f t="shared" si="1"/>
        <v>6.069</v>
      </c>
      <c r="J9" s="3">
        <f t="shared" si="2"/>
        <v>1.736035591</v>
      </c>
      <c r="K9" s="3">
        <f t="shared" si="3"/>
        <v>0.1157718121</v>
      </c>
    </row>
    <row r="10">
      <c r="A10" s="2">
        <v>9.0</v>
      </c>
      <c r="B10" s="3">
        <v>10.569</v>
      </c>
      <c r="C10" s="3">
        <v>2.466</v>
      </c>
      <c r="D10" s="3">
        <v>3.433</v>
      </c>
      <c r="E10" s="3">
        <v>1.068</v>
      </c>
      <c r="F10" s="3">
        <v>0.294</v>
      </c>
      <c r="G10" s="3">
        <v>1.61</v>
      </c>
      <c r="H10" s="3">
        <v>0.185</v>
      </c>
      <c r="I10" s="3">
        <f t="shared" si="1"/>
        <v>5.899</v>
      </c>
      <c r="J10" s="3">
        <f t="shared" si="2"/>
        <v>1.791659603</v>
      </c>
      <c r="K10" s="3">
        <f t="shared" si="3"/>
        <v>0.1826086957</v>
      </c>
    </row>
    <row r="11">
      <c r="A11" s="2">
        <v>10.0</v>
      </c>
      <c r="B11" s="4">
        <v>10.519</v>
      </c>
      <c r="C11" s="4">
        <v>2.182</v>
      </c>
      <c r="D11" s="4">
        <v>3.678</v>
      </c>
      <c r="E11" s="4">
        <v>1.659</v>
      </c>
      <c r="F11" s="4">
        <v>0.272</v>
      </c>
      <c r="G11" s="4">
        <v>1.462</v>
      </c>
      <c r="H11" s="4">
        <v>0.351</v>
      </c>
      <c r="I11" s="3">
        <f t="shared" si="1"/>
        <v>5.86</v>
      </c>
      <c r="J11" s="3">
        <f t="shared" si="2"/>
        <v>1.795051195</v>
      </c>
      <c r="K11" s="3">
        <f t="shared" si="3"/>
        <v>0.1860465116</v>
      </c>
    </row>
    <row r="12">
      <c r="A12" s="2">
        <v>11.0</v>
      </c>
      <c r="B12" s="4">
        <v>9.867</v>
      </c>
      <c r="C12" s="4">
        <v>2.22</v>
      </c>
      <c r="D12" s="4">
        <v>3.176</v>
      </c>
      <c r="E12" s="4">
        <v>1.532</v>
      </c>
      <c r="F12" s="4">
        <v>0.239</v>
      </c>
      <c r="G12" s="4">
        <v>1.421</v>
      </c>
      <c r="H12" s="4">
        <v>0.165</v>
      </c>
      <c r="I12" s="3">
        <f t="shared" si="1"/>
        <v>5.396</v>
      </c>
      <c r="J12" s="3">
        <f t="shared" si="2"/>
        <v>1.828576723</v>
      </c>
      <c r="K12" s="3">
        <f t="shared" si="3"/>
        <v>0.1681914145</v>
      </c>
    </row>
    <row r="13">
      <c r="A13" s="2">
        <v>12.0</v>
      </c>
      <c r="B13" s="4">
        <v>9.443</v>
      </c>
      <c r="C13" s="4">
        <v>2.232</v>
      </c>
      <c r="D13" s="4">
        <v>3.307</v>
      </c>
      <c r="E13" s="4">
        <v>1.5</v>
      </c>
      <c r="F13" s="4">
        <v>0.238</v>
      </c>
      <c r="G13" s="4">
        <v>1.655</v>
      </c>
      <c r="H13" s="4">
        <v>0.252</v>
      </c>
      <c r="I13" s="3">
        <f t="shared" si="1"/>
        <v>5.539</v>
      </c>
      <c r="J13" s="3">
        <f t="shared" si="2"/>
        <v>1.704820365</v>
      </c>
      <c r="K13" s="3">
        <f t="shared" si="3"/>
        <v>0.1438066465</v>
      </c>
    </row>
    <row r="14">
      <c r="A14" s="2">
        <v>13.0</v>
      </c>
      <c r="B14" s="4">
        <v>9.641</v>
      </c>
      <c r="C14" s="4">
        <v>1.921</v>
      </c>
      <c r="D14" s="4">
        <v>3.178</v>
      </c>
      <c r="E14" s="4">
        <v>1.593</v>
      </c>
      <c r="F14" s="4">
        <v>0.221</v>
      </c>
      <c r="G14" s="4">
        <v>1.283</v>
      </c>
      <c r="H14" s="4">
        <v>0.263</v>
      </c>
      <c r="I14" s="3">
        <f t="shared" si="1"/>
        <v>5.099</v>
      </c>
      <c r="J14" s="3">
        <f t="shared" si="2"/>
        <v>1.890762895</v>
      </c>
      <c r="K14" s="3">
        <f t="shared" si="3"/>
        <v>0.1722525331</v>
      </c>
    </row>
    <row r="15">
      <c r="A15" s="2">
        <v>14.0</v>
      </c>
      <c r="B15" s="4">
        <v>11.396</v>
      </c>
      <c r="C15" s="4">
        <v>2.225</v>
      </c>
      <c r="D15" s="4">
        <v>3.703</v>
      </c>
      <c r="E15" s="4">
        <v>1.401</v>
      </c>
      <c r="F15" s="4">
        <v>0.224</v>
      </c>
      <c r="G15" s="4">
        <v>1.615</v>
      </c>
      <c r="H15" s="4">
        <v>0.276</v>
      </c>
      <c r="I15" s="3">
        <f t="shared" si="1"/>
        <v>5.928</v>
      </c>
      <c r="J15" s="3">
        <f t="shared" si="2"/>
        <v>1.922402159</v>
      </c>
      <c r="K15" s="3">
        <f t="shared" si="3"/>
        <v>0.1386996904</v>
      </c>
    </row>
    <row r="16">
      <c r="A16" s="2">
        <v>15.0</v>
      </c>
      <c r="B16" s="4">
        <v>11.157</v>
      </c>
      <c r="C16" s="4">
        <v>1.958</v>
      </c>
      <c r="D16" s="4">
        <v>3.623</v>
      </c>
      <c r="E16" s="4">
        <v>1.338</v>
      </c>
      <c r="F16" s="4">
        <v>0.262</v>
      </c>
      <c r="G16" s="4">
        <v>1.45</v>
      </c>
      <c r="H16" s="4">
        <v>0.43</v>
      </c>
      <c r="I16" s="3">
        <f t="shared" si="1"/>
        <v>5.581</v>
      </c>
      <c r="J16" s="3">
        <f t="shared" si="2"/>
        <v>1.999104103</v>
      </c>
      <c r="K16" s="3">
        <f t="shared" si="3"/>
        <v>0.1806896552</v>
      </c>
    </row>
    <row r="17">
      <c r="A17" s="2">
        <v>16.0</v>
      </c>
      <c r="B17" s="4">
        <v>12.97</v>
      </c>
      <c r="C17" s="4">
        <v>2.076</v>
      </c>
      <c r="D17" s="4">
        <v>3.012</v>
      </c>
      <c r="E17" s="4">
        <v>1.576</v>
      </c>
      <c r="F17" s="4">
        <v>0.243</v>
      </c>
      <c r="G17" s="4">
        <v>1.365</v>
      </c>
      <c r="H17" s="4">
        <v>0.255</v>
      </c>
      <c r="I17" s="3">
        <f t="shared" si="1"/>
        <v>5.088</v>
      </c>
      <c r="J17" s="3">
        <f t="shared" si="2"/>
        <v>2.54913522</v>
      </c>
      <c r="K17" s="3">
        <f t="shared" si="3"/>
        <v>0.178021978</v>
      </c>
    </row>
    <row r="18">
      <c r="A18" s="2">
        <v>17.0</v>
      </c>
      <c r="B18" s="4">
        <v>10.039</v>
      </c>
      <c r="C18" s="4">
        <v>2.071</v>
      </c>
      <c r="D18" s="4">
        <v>3.812</v>
      </c>
      <c r="E18" s="4">
        <v>1.637</v>
      </c>
      <c r="F18" s="4">
        <v>0.379</v>
      </c>
      <c r="G18" s="4">
        <v>1.941</v>
      </c>
      <c r="H18" s="4">
        <v>0.311</v>
      </c>
      <c r="I18" s="3">
        <f t="shared" si="1"/>
        <v>5.883</v>
      </c>
      <c r="J18" s="3">
        <f t="shared" si="2"/>
        <v>1.706442291</v>
      </c>
      <c r="K18" s="3">
        <f t="shared" si="3"/>
        <v>0.1952601752</v>
      </c>
    </row>
    <row r="19">
      <c r="A19" s="2">
        <v>18.0</v>
      </c>
      <c r="B19" s="4">
        <v>10.572</v>
      </c>
      <c r="C19" s="4">
        <v>2.273</v>
      </c>
      <c r="D19" s="4">
        <v>3.36</v>
      </c>
      <c r="E19" s="4">
        <v>1.886</v>
      </c>
      <c r="F19" s="4">
        <v>0.366</v>
      </c>
      <c r="G19" s="4">
        <v>1.481</v>
      </c>
      <c r="H19" s="4">
        <v>0.338</v>
      </c>
      <c r="I19" s="3">
        <f t="shared" si="1"/>
        <v>5.633</v>
      </c>
      <c r="J19" s="3">
        <f t="shared" si="2"/>
        <v>1.876797444</v>
      </c>
      <c r="K19" s="3">
        <f t="shared" si="3"/>
        <v>0.2471303174</v>
      </c>
    </row>
    <row r="20">
      <c r="A20" s="2">
        <v>19.0</v>
      </c>
      <c r="B20" s="4">
        <v>10.211</v>
      </c>
      <c r="C20" s="4">
        <v>2.072</v>
      </c>
      <c r="D20" s="4">
        <v>3.61</v>
      </c>
      <c r="E20" s="4">
        <v>1.567</v>
      </c>
      <c r="F20" s="4">
        <v>0.339</v>
      </c>
      <c r="G20" s="4">
        <v>1.468</v>
      </c>
      <c r="H20" s="4">
        <v>0.233</v>
      </c>
      <c r="I20" s="3">
        <f t="shared" si="1"/>
        <v>5.682</v>
      </c>
      <c r="J20" s="3">
        <f t="shared" si="2"/>
        <v>1.797078493</v>
      </c>
      <c r="K20" s="3">
        <f t="shared" si="3"/>
        <v>0.2309264305</v>
      </c>
    </row>
    <row r="21" ht="15.75" customHeight="1">
      <c r="A21" s="2">
        <v>20.0</v>
      </c>
      <c r="B21" s="4">
        <v>10.109</v>
      </c>
      <c r="C21" s="4">
        <v>2.101</v>
      </c>
      <c r="D21" s="4">
        <v>3.113</v>
      </c>
      <c r="E21" s="4">
        <v>1.335</v>
      </c>
      <c r="F21" s="4">
        <v>0.2673</v>
      </c>
      <c r="G21" s="4">
        <v>1.423</v>
      </c>
      <c r="H21" s="4">
        <v>0.189</v>
      </c>
      <c r="I21" s="3">
        <f t="shared" si="1"/>
        <v>5.214</v>
      </c>
      <c r="J21" s="3">
        <f t="shared" si="2"/>
        <v>1.938818565</v>
      </c>
      <c r="K21" s="3">
        <f t="shared" si="3"/>
        <v>0.1878425861</v>
      </c>
    </row>
    <row r="22" ht="15.75" customHeight="1">
      <c r="A22" s="2">
        <v>21.0</v>
      </c>
      <c r="B22" s="4">
        <v>10.009</v>
      </c>
      <c r="C22" s="4">
        <v>1.886</v>
      </c>
      <c r="D22" s="4">
        <v>2.998</v>
      </c>
      <c r="E22" s="4">
        <v>1.16</v>
      </c>
      <c r="F22" s="4">
        <v>0.295</v>
      </c>
      <c r="G22" s="4">
        <v>1.526</v>
      </c>
      <c r="H22" s="4">
        <v>0.27</v>
      </c>
      <c r="I22" s="3">
        <f t="shared" si="1"/>
        <v>4.884</v>
      </c>
      <c r="J22" s="3">
        <f t="shared" si="2"/>
        <v>2.049344799</v>
      </c>
      <c r="K22" s="3">
        <f t="shared" si="3"/>
        <v>0.1933158585</v>
      </c>
    </row>
    <row r="23" ht="15.75" customHeight="1">
      <c r="A23" s="2">
        <v>22.0</v>
      </c>
      <c r="B23" s="4">
        <v>9.106</v>
      </c>
      <c r="C23" s="4">
        <v>1.935</v>
      </c>
      <c r="D23" s="4">
        <v>3.115</v>
      </c>
      <c r="E23" s="4">
        <v>1.597</v>
      </c>
      <c r="F23" s="4">
        <v>0.27</v>
      </c>
      <c r="G23" s="4">
        <v>1.614</v>
      </c>
      <c r="H23" s="4">
        <v>0.283</v>
      </c>
      <c r="I23" s="3">
        <f t="shared" si="1"/>
        <v>5.05</v>
      </c>
      <c r="J23" s="3">
        <f t="shared" si="2"/>
        <v>1.803168317</v>
      </c>
      <c r="K23" s="3">
        <f t="shared" si="3"/>
        <v>0.1672862454</v>
      </c>
    </row>
    <row r="24" ht="15.75" customHeight="1">
      <c r="A24" s="2">
        <v>23.0</v>
      </c>
      <c r="B24" s="4">
        <v>12.257</v>
      </c>
      <c r="C24" s="4">
        <v>2.563</v>
      </c>
      <c r="D24" s="4">
        <v>3.759</v>
      </c>
      <c r="E24" s="4">
        <v>1.977</v>
      </c>
      <c r="F24" s="4">
        <v>0.415</v>
      </c>
      <c r="G24" s="4">
        <v>1.688</v>
      </c>
      <c r="H24" s="4">
        <v>0.451</v>
      </c>
      <c r="I24" s="3">
        <f t="shared" si="1"/>
        <v>6.322</v>
      </c>
      <c r="J24" s="3">
        <f t="shared" si="2"/>
        <v>1.938785195</v>
      </c>
      <c r="K24" s="3">
        <f t="shared" si="3"/>
        <v>0.2458530806</v>
      </c>
    </row>
    <row r="25" ht="15.75" customHeight="1">
      <c r="A25" s="2">
        <v>24.0</v>
      </c>
      <c r="B25" s="4">
        <v>11.158</v>
      </c>
      <c r="C25" s="4">
        <v>1.947</v>
      </c>
      <c r="D25" s="4">
        <v>3.943</v>
      </c>
      <c r="E25" s="4">
        <v>1.286</v>
      </c>
      <c r="F25" s="4">
        <v>0.336</v>
      </c>
      <c r="G25" s="4">
        <v>1.175</v>
      </c>
      <c r="H25" s="4">
        <v>0.165</v>
      </c>
      <c r="I25" s="3">
        <f t="shared" si="1"/>
        <v>5.89</v>
      </c>
      <c r="J25" s="3">
        <f t="shared" si="2"/>
        <v>1.894397284</v>
      </c>
      <c r="K25" s="3">
        <f t="shared" si="3"/>
        <v>0.2859574468</v>
      </c>
    </row>
    <row r="26" ht="15.75" customHeight="1">
      <c r="A26" s="2">
        <v>25.0</v>
      </c>
      <c r="B26" s="4">
        <v>13.103</v>
      </c>
      <c r="C26" s="4">
        <v>2.451</v>
      </c>
      <c r="D26" s="4">
        <v>3.837</v>
      </c>
      <c r="E26" s="4">
        <v>1.407</v>
      </c>
      <c r="F26" s="4">
        <v>0.321</v>
      </c>
      <c r="G26" s="4">
        <v>1.632</v>
      </c>
      <c r="H26" s="4">
        <v>0.34</v>
      </c>
      <c r="I26" s="3">
        <f t="shared" si="1"/>
        <v>6.288</v>
      </c>
      <c r="J26" s="3">
        <f t="shared" si="2"/>
        <v>2.083810433</v>
      </c>
      <c r="K26" s="3">
        <f t="shared" si="3"/>
        <v>0.1966911765</v>
      </c>
    </row>
    <row r="27" ht="15.75" customHeight="1">
      <c r="A27" s="2">
        <v>26.0</v>
      </c>
      <c r="B27" s="4">
        <v>12.348</v>
      </c>
      <c r="C27" s="4">
        <v>2.008</v>
      </c>
      <c r="D27" s="4">
        <v>4.151</v>
      </c>
      <c r="E27" s="4">
        <v>1.503</v>
      </c>
      <c r="F27" s="4">
        <v>0.345</v>
      </c>
      <c r="G27" s="4">
        <v>1.735</v>
      </c>
      <c r="H27" s="4">
        <v>0.405</v>
      </c>
      <c r="I27" s="3">
        <f t="shared" si="1"/>
        <v>6.159</v>
      </c>
      <c r="J27" s="3">
        <f t="shared" si="2"/>
        <v>2.004870921</v>
      </c>
      <c r="K27" s="3">
        <f t="shared" si="3"/>
        <v>0.1988472622</v>
      </c>
    </row>
    <row r="28" ht="15.75" customHeight="1">
      <c r="A28" s="2">
        <v>27.0</v>
      </c>
      <c r="B28" s="4">
        <v>9.702</v>
      </c>
      <c r="C28" s="4">
        <v>1.921</v>
      </c>
      <c r="D28" s="4">
        <v>3.363</v>
      </c>
      <c r="E28" s="4">
        <v>1.603</v>
      </c>
      <c r="F28" s="4">
        <v>0.28</v>
      </c>
      <c r="G28" s="4">
        <v>1.4</v>
      </c>
      <c r="H28" s="4">
        <v>0.192</v>
      </c>
      <c r="I28" s="3">
        <f t="shared" si="1"/>
        <v>5.284</v>
      </c>
      <c r="J28" s="3">
        <f t="shared" si="2"/>
        <v>1.836109008</v>
      </c>
      <c r="K28" s="3">
        <f t="shared" si="3"/>
        <v>0.2</v>
      </c>
    </row>
    <row r="29" ht="15.75" customHeight="1">
      <c r="A29" s="2">
        <v>28.0</v>
      </c>
      <c r="B29" s="4">
        <v>13.278</v>
      </c>
      <c r="C29" s="4">
        <v>2.109</v>
      </c>
      <c r="D29" s="4">
        <v>3.411</v>
      </c>
      <c r="E29" s="4">
        <v>1.731</v>
      </c>
      <c r="F29" s="4">
        <v>0.198</v>
      </c>
      <c r="G29" s="4">
        <v>1.875</v>
      </c>
      <c r="H29" s="4">
        <v>0.446</v>
      </c>
      <c r="I29" s="3">
        <f t="shared" si="1"/>
        <v>5.52</v>
      </c>
      <c r="J29" s="3">
        <f t="shared" si="2"/>
        <v>2.405434783</v>
      </c>
      <c r="K29" s="3">
        <f t="shared" si="3"/>
        <v>0.1056</v>
      </c>
    </row>
    <row r="30" ht="15.75" customHeight="1">
      <c r="A30" s="2">
        <v>29.0</v>
      </c>
      <c r="B30" s="4">
        <v>10.322</v>
      </c>
      <c r="C30" s="4">
        <v>1.891</v>
      </c>
      <c r="D30" s="4">
        <v>3.905</v>
      </c>
      <c r="E30" s="4">
        <v>1.619</v>
      </c>
      <c r="F30" s="4">
        <v>0.226</v>
      </c>
      <c r="G30" s="4">
        <v>1.657</v>
      </c>
      <c r="H30" s="4">
        <v>0.36</v>
      </c>
      <c r="I30" s="3">
        <f t="shared" si="1"/>
        <v>5.796</v>
      </c>
      <c r="J30" s="3">
        <f t="shared" si="2"/>
        <v>1.780883368</v>
      </c>
      <c r="K30" s="3">
        <f t="shared" si="3"/>
        <v>0.1363910682</v>
      </c>
    </row>
    <row r="31" ht="15.75" customHeight="1">
      <c r="A31" s="2">
        <v>30.0</v>
      </c>
      <c r="B31" s="4">
        <v>8.324</v>
      </c>
      <c r="C31" s="4">
        <v>1.678</v>
      </c>
      <c r="D31" s="4">
        <v>3.436</v>
      </c>
      <c r="E31" s="4">
        <v>1.479</v>
      </c>
      <c r="F31" s="4">
        <v>0.293</v>
      </c>
      <c r="G31" s="4">
        <v>1.398</v>
      </c>
      <c r="H31" s="4">
        <v>0.169</v>
      </c>
      <c r="I31" s="3">
        <v>8.324</v>
      </c>
      <c r="J31" s="3">
        <f t="shared" si="2"/>
        <v>1</v>
      </c>
      <c r="K31" s="3">
        <f t="shared" si="3"/>
        <v>0.2095851216</v>
      </c>
    </row>
    <row r="32" ht="15.75" customHeight="1">
      <c r="A32" s="2" t="s">
        <v>11</v>
      </c>
      <c r="B32" s="3">
        <f t="shared" ref="B32:K32" si="4">AVERAGE(B2:B31)</f>
        <v>10.77796667</v>
      </c>
      <c r="C32" s="3">
        <f t="shared" si="4"/>
        <v>2.129233333</v>
      </c>
      <c r="D32" s="3">
        <f t="shared" si="4"/>
        <v>3.500166667</v>
      </c>
      <c r="E32" s="3">
        <f t="shared" si="4"/>
        <v>1.537</v>
      </c>
      <c r="F32" s="3">
        <f t="shared" si="4"/>
        <v>0.28031</v>
      </c>
      <c r="G32" s="3">
        <f t="shared" si="4"/>
        <v>1.553266667</v>
      </c>
      <c r="H32" s="3">
        <f t="shared" si="4"/>
        <v>0.2823</v>
      </c>
      <c r="I32" s="3">
        <f t="shared" si="4"/>
        <v>5.7364</v>
      </c>
      <c r="J32" s="3">
        <f t="shared" si="4"/>
        <v>1.896132679</v>
      </c>
      <c r="K32" s="3">
        <f t="shared" si="4"/>
        <v>0.1821723733</v>
      </c>
    </row>
    <row r="33" ht="15.75" customHeight="1">
      <c r="A33" s="2" t="s">
        <v>12</v>
      </c>
      <c r="B33" s="3">
        <f t="shared" ref="B33:K33" si="5">STDEV(B2:B31)</f>
        <v>1.260023412</v>
      </c>
      <c r="C33" s="3">
        <f t="shared" si="5"/>
        <v>0.2144073923</v>
      </c>
      <c r="D33" s="3">
        <f t="shared" si="5"/>
        <v>0.3028796373</v>
      </c>
      <c r="E33" s="3">
        <f t="shared" si="5"/>
        <v>0.2091915473</v>
      </c>
      <c r="F33" s="3">
        <f t="shared" si="5"/>
        <v>0.05630104029</v>
      </c>
      <c r="G33" s="3">
        <f t="shared" si="5"/>
        <v>0.1717158706</v>
      </c>
      <c r="H33" s="3">
        <f t="shared" si="5"/>
        <v>0.08784710464</v>
      </c>
      <c r="I33" s="3">
        <f t="shared" si="5"/>
        <v>0.6275045047</v>
      </c>
      <c r="J33" s="3">
        <f t="shared" si="5"/>
        <v>0.2618585488</v>
      </c>
      <c r="K33" s="3">
        <f t="shared" si="5"/>
        <v>0.03873868771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9.826</v>
      </c>
      <c r="C2" s="3">
        <v>1.035</v>
      </c>
      <c r="D2" s="3">
        <v>2.44</v>
      </c>
      <c r="E2" s="3">
        <v>0.887</v>
      </c>
      <c r="F2" s="3">
        <v>0.192</v>
      </c>
      <c r="G2" s="3">
        <v>0.602</v>
      </c>
      <c r="H2" s="3">
        <v>0.166</v>
      </c>
      <c r="I2" s="3">
        <f t="shared" ref="I2:I30" si="1">C2+D2</f>
        <v>3.475</v>
      </c>
      <c r="J2" s="3">
        <f t="shared" ref="J2:J30" si="2">B2/I2</f>
        <v>2.827625899</v>
      </c>
      <c r="K2" s="3">
        <f t="shared" ref="K2:K30" si="3">F2/G2</f>
        <v>0.3189368771</v>
      </c>
    </row>
    <row r="3">
      <c r="A3" s="2">
        <v>2.0</v>
      </c>
      <c r="B3" s="3">
        <v>7.502</v>
      </c>
      <c r="C3" s="3">
        <v>1.002</v>
      </c>
      <c r="D3" s="3">
        <v>2.248</v>
      </c>
      <c r="E3" s="3">
        <v>0.961</v>
      </c>
      <c r="F3" s="3">
        <v>0.181</v>
      </c>
      <c r="G3" s="3">
        <v>0.627</v>
      </c>
      <c r="H3" s="3">
        <v>0.144</v>
      </c>
      <c r="I3" s="3">
        <f t="shared" si="1"/>
        <v>3.25</v>
      </c>
      <c r="J3" s="3">
        <f t="shared" si="2"/>
        <v>2.308307692</v>
      </c>
      <c r="K3" s="3">
        <f t="shared" si="3"/>
        <v>0.288676236</v>
      </c>
    </row>
    <row r="4">
      <c r="A4" s="2">
        <v>3.0</v>
      </c>
      <c r="B4" s="3">
        <v>7.331</v>
      </c>
      <c r="C4" s="3">
        <v>0.898</v>
      </c>
      <c r="D4" s="3">
        <v>2.408</v>
      </c>
      <c r="E4" s="3">
        <v>0.9</v>
      </c>
      <c r="F4" s="3">
        <v>0.151</v>
      </c>
      <c r="G4" s="3">
        <v>0.706</v>
      </c>
      <c r="H4" s="3">
        <v>0.154</v>
      </c>
      <c r="I4" s="3">
        <f t="shared" si="1"/>
        <v>3.306</v>
      </c>
      <c r="J4" s="3">
        <f t="shared" si="2"/>
        <v>2.217483364</v>
      </c>
      <c r="K4" s="3">
        <f t="shared" si="3"/>
        <v>0.2138810198</v>
      </c>
    </row>
    <row r="5">
      <c r="A5" s="2">
        <v>4.0</v>
      </c>
      <c r="B5" s="3">
        <v>9.332</v>
      </c>
      <c r="C5" s="3">
        <v>0.938</v>
      </c>
      <c r="D5" s="3">
        <v>2.658</v>
      </c>
      <c r="E5" s="3">
        <v>1.222</v>
      </c>
      <c r="F5" s="3">
        <v>0.287</v>
      </c>
      <c r="G5" s="3">
        <v>0.815</v>
      </c>
      <c r="H5" s="3">
        <v>0.19</v>
      </c>
      <c r="I5" s="3">
        <f t="shared" si="1"/>
        <v>3.596</v>
      </c>
      <c r="J5" s="3">
        <f t="shared" si="2"/>
        <v>2.595105673</v>
      </c>
      <c r="K5" s="3">
        <f t="shared" si="3"/>
        <v>0.3521472393</v>
      </c>
    </row>
    <row r="6">
      <c r="A6" s="2">
        <v>5.0</v>
      </c>
      <c r="B6" s="3">
        <v>7.042</v>
      </c>
      <c r="C6" s="3">
        <v>0.855</v>
      </c>
      <c r="D6" s="3">
        <v>2.436</v>
      </c>
      <c r="E6" s="3">
        <v>0.852</v>
      </c>
      <c r="F6" s="3">
        <v>0.139</v>
      </c>
      <c r="G6" s="3">
        <v>0.563</v>
      </c>
      <c r="H6" s="3">
        <v>0.135</v>
      </c>
      <c r="I6" s="3">
        <f t="shared" si="1"/>
        <v>3.291</v>
      </c>
      <c r="J6" s="3">
        <f t="shared" si="2"/>
        <v>2.139775144</v>
      </c>
      <c r="K6" s="3">
        <f t="shared" si="3"/>
        <v>0.2468916519</v>
      </c>
    </row>
    <row r="7">
      <c r="A7" s="2">
        <v>6.0</v>
      </c>
      <c r="B7" s="3">
        <v>9.616</v>
      </c>
      <c r="C7" s="3">
        <v>1.141</v>
      </c>
      <c r="D7" s="3">
        <v>2.698</v>
      </c>
      <c r="E7" s="3">
        <v>0.97</v>
      </c>
      <c r="F7" s="3">
        <v>0.255</v>
      </c>
      <c r="G7" s="3">
        <v>0.584</v>
      </c>
      <c r="H7" s="3">
        <v>0.181</v>
      </c>
      <c r="I7" s="3">
        <f t="shared" si="1"/>
        <v>3.839</v>
      </c>
      <c r="J7" s="3">
        <f t="shared" si="2"/>
        <v>2.504818963</v>
      </c>
      <c r="K7" s="3">
        <f t="shared" si="3"/>
        <v>0.4366438356</v>
      </c>
    </row>
    <row r="8">
      <c r="A8" s="2">
        <v>8.0</v>
      </c>
      <c r="B8" s="3">
        <v>9.376</v>
      </c>
      <c r="C8" s="3">
        <v>1.002</v>
      </c>
      <c r="D8" s="3">
        <v>2.427</v>
      </c>
      <c r="E8" s="3">
        <v>0.993</v>
      </c>
      <c r="F8" s="3">
        <v>0.151</v>
      </c>
      <c r="G8" s="3">
        <v>0.389</v>
      </c>
      <c r="H8" s="3">
        <v>0.158</v>
      </c>
      <c r="I8" s="3">
        <f t="shared" si="1"/>
        <v>3.429</v>
      </c>
      <c r="J8" s="3">
        <f t="shared" si="2"/>
        <v>2.734324876</v>
      </c>
      <c r="K8" s="3">
        <f t="shared" si="3"/>
        <v>0.3881748072</v>
      </c>
    </row>
    <row r="9">
      <c r="A9" s="2">
        <v>9.0</v>
      </c>
      <c r="B9" s="3">
        <v>9.417</v>
      </c>
      <c r="C9" s="3">
        <v>1.081</v>
      </c>
      <c r="D9" s="3">
        <v>2.366</v>
      </c>
      <c r="E9" s="3">
        <v>0.815</v>
      </c>
      <c r="F9" s="3">
        <v>0.223</v>
      </c>
      <c r="G9" s="3">
        <v>0.608</v>
      </c>
      <c r="H9" s="3">
        <v>0.171</v>
      </c>
      <c r="I9" s="3">
        <f t="shared" si="1"/>
        <v>3.447</v>
      </c>
      <c r="J9" s="3">
        <f t="shared" si="2"/>
        <v>2.731940818</v>
      </c>
      <c r="K9" s="3">
        <f t="shared" si="3"/>
        <v>0.3667763158</v>
      </c>
    </row>
    <row r="10">
      <c r="A10" s="2">
        <v>10.0</v>
      </c>
      <c r="B10" s="4">
        <v>10.865</v>
      </c>
      <c r="C10" s="4">
        <v>1.001</v>
      </c>
      <c r="D10" s="4">
        <v>2.618</v>
      </c>
      <c r="E10" s="4">
        <v>1.242</v>
      </c>
      <c r="F10" s="4">
        <v>0.124</v>
      </c>
      <c r="G10" s="4">
        <v>0.494</v>
      </c>
      <c r="H10" s="4">
        <v>0.188</v>
      </c>
      <c r="I10" s="3">
        <f t="shared" si="1"/>
        <v>3.619</v>
      </c>
      <c r="J10" s="3">
        <f t="shared" si="2"/>
        <v>3.002210555</v>
      </c>
      <c r="K10" s="3">
        <f t="shared" si="3"/>
        <v>0.2510121457</v>
      </c>
    </row>
    <row r="11">
      <c r="A11" s="2">
        <v>11.0</v>
      </c>
      <c r="B11" s="4">
        <v>11.263</v>
      </c>
      <c r="C11" s="4">
        <v>1.15</v>
      </c>
      <c r="D11" s="4">
        <v>2.6</v>
      </c>
      <c r="E11" s="4">
        <v>1.261</v>
      </c>
      <c r="F11" s="4">
        <v>0.124</v>
      </c>
      <c r="G11" s="4">
        <v>0.648</v>
      </c>
      <c r="H11" s="4">
        <v>0.21</v>
      </c>
      <c r="I11" s="3">
        <f t="shared" si="1"/>
        <v>3.75</v>
      </c>
      <c r="J11" s="3">
        <f t="shared" si="2"/>
        <v>3.003466667</v>
      </c>
      <c r="K11" s="3">
        <f t="shared" si="3"/>
        <v>0.1913580247</v>
      </c>
    </row>
    <row r="12">
      <c r="A12" s="2">
        <v>12.0</v>
      </c>
      <c r="B12" s="4">
        <v>11.374</v>
      </c>
      <c r="C12" s="4">
        <v>1.041</v>
      </c>
      <c r="D12" s="4">
        <v>2.618</v>
      </c>
      <c r="E12" s="4">
        <v>1.032</v>
      </c>
      <c r="F12" s="4">
        <v>0.198</v>
      </c>
      <c r="G12" s="4">
        <v>0.612</v>
      </c>
      <c r="H12" s="4">
        <v>0.159</v>
      </c>
      <c r="I12" s="3">
        <f t="shared" si="1"/>
        <v>3.659</v>
      </c>
      <c r="J12" s="3">
        <f t="shared" si="2"/>
        <v>3.10849959</v>
      </c>
      <c r="K12" s="3">
        <f t="shared" si="3"/>
        <v>0.3235294118</v>
      </c>
    </row>
    <row r="13">
      <c r="A13" s="2">
        <v>13.0</v>
      </c>
      <c r="B13" s="4">
        <v>9.472</v>
      </c>
      <c r="C13" s="4">
        <v>1.031</v>
      </c>
      <c r="D13" s="4">
        <v>2.343</v>
      </c>
      <c r="E13" s="4">
        <v>0.998</v>
      </c>
      <c r="F13" s="4">
        <v>0.173</v>
      </c>
      <c r="G13" s="4">
        <v>0.601</v>
      </c>
      <c r="H13" s="4">
        <v>0.153</v>
      </c>
      <c r="I13" s="3">
        <f t="shared" si="1"/>
        <v>3.374</v>
      </c>
      <c r="J13" s="3">
        <f t="shared" si="2"/>
        <v>2.807350326</v>
      </c>
      <c r="K13" s="3">
        <f t="shared" si="3"/>
        <v>0.2878535774</v>
      </c>
    </row>
    <row r="14">
      <c r="A14" s="2">
        <v>14.0</v>
      </c>
      <c r="B14" s="4">
        <v>9.615</v>
      </c>
      <c r="C14" s="4">
        <v>1.015</v>
      </c>
      <c r="D14" s="4">
        <v>2.631</v>
      </c>
      <c r="E14" s="4">
        <v>1.068</v>
      </c>
      <c r="F14" s="4">
        <v>0.209</v>
      </c>
      <c r="G14" s="4">
        <v>0.662</v>
      </c>
      <c r="H14" s="4">
        <v>0.182</v>
      </c>
      <c r="I14" s="3">
        <f t="shared" si="1"/>
        <v>3.646</v>
      </c>
      <c r="J14" s="3">
        <f t="shared" si="2"/>
        <v>2.637136588</v>
      </c>
      <c r="K14" s="3">
        <f t="shared" si="3"/>
        <v>0.3157099698</v>
      </c>
    </row>
    <row r="15">
      <c r="A15" s="2">
        <v>15.0</v>
      </c>
      <c r="B15" s="4">
        <v>11.848</v>
      </c>
      <c r="C15" s="4">
        <v>1.071</v>
      </c>
      <c r="D15" s="4">
        <v>2.74</v>
      </c>
      <c r="E15" s="4">
        <v>1.262</v>
      </c>
      <c r="F15" s="4">
        <v>0.221</v>
      </c>
      <c r="G15" s="4">
        <v>0.734</v>
      </c>
      <c r="H15" s="4">
        <v>0.189</v>
      </c>
      <c r="I15" s="3">
        <f t="shared" si="1"/>
        <v>3.811</v>
      </c>
      <c r="J15" s="3">
        <f t="shared" si="2"/>
        <v>3.108895303</v>
      </c>
      <c r="K15" s="3">
        <f t="shared" si="3"/>
        <v>0.3010899183</v>
      </c>
    </row>
    <row r="16">
      <c r="A16" s="2">
        <v>16.0</v>
      </c>
      <c r="B16" s="4">
        <v>9.25</v>
      </c>
      <c r="C16" s="4">
        <v>0.971</v>
      </c>
      <c r="D16" s="4">
        <v>2.309</v>
      </c>
      <c r="E16" s="4">
        <v>0.985</v>
      </c>
      <c r="F16" s="4">
        <v>0.166</v>
      </c>
      <c r="G16" s="4">
        <v>0.647</v>
      </c>
      <c r="H16" s="4">
        <v>0.127</v>
      </c>
      <c r="I16" s="3">
        <f t="shared" si="1"/>
        <v>3.28</v>
      </c>
      <c r="J16" s="3">
        <f t="shared" si="2"/>
        <v>2.820121951</v>
      </c>
      <c r="K16" s="3">
        <f t="shared" si="3"/>
        <v>0.256568779</v>
      </c>
    </row>
    <row r="17">
      <c r="A17" s="2">
        <v>17.0</v>
      </c>
      <c r="B17" s="4">
        <v>9.826</v>
      </c>
      <c r="C17" s="4">
        <v>1.179</v>
      </c>
      <c r="D17" s="4">
        <v>2.594</v>
      </c>
      <c r="E17" s="4">
        <v>0.97</v>
      </c>
      <c r="F17" s="4">
        <v>0.156</v>
      </c>
      <c r="G17" s="4">
        <v>0.497</v>
      </c>
      <c r="H17" s="4">
        <v>0.167</v>
      </c>
      <c r="I17" s="3">
        <f t="shared" si="1"/>
        <v>3.773</v>
      </c>
      <c r="J17" s="3">
        <f t="shared" si="2"/>
        <v>2.604293666</v>
      </c>
      <c r="K17" s="3">
        <f t="shared" si="3"/>
        <v>0.3138832998</v>
      </c>
    </row>
    <row r="18">
      <c r="A18" s="2">
        <v>18.0</v>
      </c>
      <c r="B18" s="4">
        <v>9.764</v>
      </c>
      <c r="C18" s="4">
        <v>0.945</v>
      </c>
      <c r="D18" s="4">
        <v>2.567</v>
      </c>
      <c r="E18" s="4">
        <v>1.063</v>
      </c>
      <c r="F18" s="4">
        <v>0.217</v>
      </c>
      <c r="G18" s="4">
        <v>0.597</v>
      </c>
      <c r="H18" s="4">
        <v>0.179</v>
      </c>
      <c r="I18" s="3">
        <f t="shared" si="1"/>
        <v>3.512</v>
      </c>
      <c r="J18" s="3">
        <f t="shared" si="2"/>
        <v>2.780182232</v>
      </c>
      <c r="K18" s="3">
        <f t="shared" si="3"/>
        <v>0.3634840871</v>
      </c>
    </row>
    <row r="19">
      <c r="A19" s="2">
        <v>19.0</v>
      </c>
      <c r="B19" s="4">
        <v>7.263</v>
      </c>
      <c r="C19" s="4">
        <v>0.834</v>
      </c>
      <c r="D19" s="4">
        <v>2.134</v>
      </c>
      <c r="E19" s="4">
        <v>0.915</v>
      </c>
      <c r="F19" s="4">
        <v>0.156</v>
      </c>
      <c r="G19" s="4">
        <v>0.427</v>
      </c>
      <c r="H19" s="4">
        <v>0.121</v>
      </c>
      <c r="I19" s="3">
        <f t="shared" si="1"/>
        <v>2.968</v>
      </c>
      <c r="J19" s="3">
        <f t="shared" si="2"/>
        <v>2.447102426</v>
      </c>
      <c r="K19" s="3">
        <f t="shared" si="3"/>
        <v>0.3653395785</v>
      </c>
    </row>
    <row r="20">
      <c r="A20" s="2">
        <v>20.0</v>
      </c>
      <c r="B20" s="4">
        <v>9.801</v>
      </c>
      <c r="C20" s="4">
        <v>0.955</v>
      </c>
      <c r="D20" s="4">
        <v>2.452</v>
      </c>
      <c r="E20" s="4">
        <v>0.927</v>
      </c>
      <c r="F20" s="4">
        <v>0.24</v>
      </c>
      <c r="G20" s="4">
        <v>0.624</v>
      </c>
      <c r="H20" s="4">
        <v>0.138</v>
      </c>
      <c r="I20" s="3">
        <f t="shared" si="1"/>
        <v>3.407</v>
      </c>
      <c r="J20" s="3">
        <f t="shared" si="2"/>
        <v>2.876724391</v>
      </c>
      <c r="K20" s="3">
        <f t="shared" si="3"/>
        <v>0.3846153846</v>
      </c>
    </row>
    <row r="21" ht="15.75" customHeight="1">
      <c r="A21" s="2">
        <v>21.0</v>
      </c>
      <c r="B21" s="4">
        <v>9.31</v>
      </c>
      <c r="C21" s="4">
        <v>1.176</v>
      </c>
      <c r="D21" s="4">
        <v>2.347</v>
      </c>
      <c r="E21" s="4">
        <v>0.867</v>
      </c>
      <c r="F21" s="4">
        <v>0.24</v>
      </c>
      <c r="G21" s="4">
        <v>0.623</v>
      </c>
      <c r="H21" s="4">
        <v>0.141</v>
      </c>
      <c r="I21" s="3">
        <f t="shared" si="1"/>
        <v>3.523</v>
      </c>
      <c r="J21" s="3">
        <f t="shared" si="2"/>
        <v>2.642634119</v>
      </c>
      <c r="K21" s="3">
        <f t="shared" si="3"/>
        <v>0.3852327448</v>
      </c>
    </row>
    <row r="22" ht="15.75" customHeight="1">
      <c r="A22" s="2">
        <v>22.0</v>
      </c>
      <c r="B22" s="4">
        <v>10.447</v>
      </c>
      <c r="C22" s="4">
        <v>1.037</v>
      </c>
      <c r="D22" s="4">
        <v>2.54</v>
      </c>
      <c r="E22" s="4">
        <v>0.97</v>
      </c>
      <c r="F22" s="4">
        <v>0.166</v>
      </c>
      <c r="G22" s="4">
        <v>0.599</v>
      </c>
      <c r="H22" s="4">
        <v>0.133</v>
      </c>
      <c r="I22" s="3">
        <f t="shared" si="1"/>
        <v>3.577</v>
      </c>
      <c r="J22" s="3">
        <f t="shared" si="2"/>
        <v>2.920603858</v>
      </c>
      <c r="K22" s="3">
        <f t="shared" si="3"/>
        <v>0.2771285476</v>
      </c>
    </row>
    <row r="23" ht="15.75" customHeight="1">
      <c r="A23" s="2">
        <v>23.0</v>
      </c>
      <c r="B23" s="4">
        <v>9.093</v>
      </c>
      <c r="C23" s="4">
        <v>1.015</v>
      </c>
      <c r="D23" s="4">
        <v>2.684</v>
      </c>
      <c r="E23" s="4">
        <v>1.273</v>
      </c>
      <c r="F23" s="4">
        <v>0.1807</v>
      </c>
      <c r="G23" s="4">
        <v>0.527</v>
      </c>
      <c r="H23" s="4">
        <v>0.198</v>
      </c>
      <c r="I23" s="3">
        <f t="shared" si="1"/>
        <v>3.699</v>
      </c>
      <c r="J23" s="3">
        <f t="shared" si="2"/>
        <v>2.458231955</v>
      </c>
      <c r="K23" s="3">
        <f t="shared" si="3"/>
        <v>0.3428842505</v>
      </c>
    </row>
    <row r="24" ht="15.75" customHeight="1">
      <c r="A24" s="2">
        <v>24.0</v>
      </c>
      <c r="B24" s="4">
        <v>10.911</v>
      </c>
      <c r="C24" s="4">
        <v>0.963</v>
      </c>
      <c r="D24" s="4">
        <v>2.486</v>
      </c>
      <c r="E24" s="4">
        <v>1.237</v>
      </c>
      <c r="F24" s="4">
        <v>0.173</v>
      </c>
      <c r="G24" s="4">
        <v>0.469</v>
      </c>
      <c r="H24" s="4">
        <v>0.184</v>
      </c>
      <c r="I24" s="3">
        <f t="shared" si="1"/>
        <v>3.449</v>
      </c>
      <c r="J24" s="3">
        <f t="shared" si="2"/>
        <v>3.16352566</v>
      </c>
      <c r="K24" s="3">
        <f t="shared" si="3"/>
        <v>0.368869936</v>
      </c>
    </row>
    <row r="25" ht="15.75" customHeight="1">
      <c r="A25" s="2">
        <v>25.0</v>
      </c>
      <c r="B25" s="4">
        <v>11.99</v>
      </c>
      <c r="C25" s="4">
        <v>1.154</v>
      </c>
      <c r="D25" s="4">
        <v>2.508</v>
      </c>
      <c r="E25" s="4">
        <v>1.189</v>
      </c>
      <c r="F25" s="4">
        <v>0.156</v>
      </c>
      <c r="G25" s="4">
        <v>0.632</v>
      </c>
      <c r="H25" s="4">
        <v>0.19</v>
      </c>
      <c r="I25" s="3">
        <f t="shared" si="1"/>
        <v>3.662</v>
      </c>
      <c r="J25" s="3">
        <f t="shared" si="2"/>
        <v>3.274167122</v>
      </c>
      <c r="K25" s="3">
        <f t="shared" si="3"/>
        <v>0.246835443</v>
      </c>
    </row>
    <row r="26" ht="15.75" customHeight="1">
      <c r="A26" s="2">
        <v>26.0</v>
      </c>
      <c r="B26" s="4">
        <v>11.833</v>
      </c>
      <c r="C26" s="4">
        <v>1.073</v>
      </c>
      <c r="D26" s="4">
        <v>2.653</v>
      </c>
      <c r="E26" s="4">
        <v>1.01</v>
      </c>
      <c r="F26" s="4">
        <v>0.173</v>
      </c>
      <c r="G26" s="4">
        <v>0.706</v>
      </c>
      <c r="H26" s="4">
        <v>0.187</v>
      </c>
      <c r="I26" s="3">
        <f t="shared" si="1"/>
        <v>3.726</v>
      </c>
      <c r="J26" s="3">
        <f t="shared" si="2"/>
        <v>3.175791734</v>
      </c>
      <c r="K26" s="3">
        <f t="shared" si="3"/>
        <v>0.2450424929</v>
      </c>
    </row>
    <row r="27" ht="15.75" customHeight="1">
      <c r="A27" s="2">
        <v>27.0</v>
      </c>
      <c r="B27" s="4">
        <v>9.377</v>
      </c>
      <c r="C27" s="4">
        <v>1.111</v>
      </c>
      <c r="D27" s="4">
        <v>2.371</v>
      </c>
      <c r="E27" s="4">
        <v>0.894</v>
      </c>
      <c r="F27" s="4">
        <v>0.2</v>
      </c>
      <c r="G27" s="4">
        <v>0.539</v>
      </c>
      <c r="H27" s="4">
        <v>0.183</v>
      </c>
      <c r="I27" s="3">
        <f t="shared" si="1"/>
        <v>3.482</v>
      </c>
      <c r="J27" s="3">
        <f t="shared" si="2"/>
        <v>2.692992533</v>
      </c>
      <c r="K27" s="3">
        <f t="shared" si="3"/>
        <v>0.3710575139</v>
      </c>
    </row>
    <row r="28" ht="15.75" customHeight="1">
      <c r="A28" s="2">
        <v>28.0</v>
      </c>
      <c r="B28" s="4">
        <v>8.891</v>
      </c>
      <c r="C28" s="4">
        <v>0.991</v>
      </c>
      <c r="D28" s="4">
        <v>2.489</v>
      </c>
      <c r="E28" s="4">
        <v>1.084</v>
      </c>
      <c r="F28" s="4">
        <v>0.252</v>
      </c>
      <c r="G28" s="4">
        <v>0.659</v>
      </c>
      <c r="H28" s="4">
        <v>0.205</v>
      </c>
      <c r="I28" s="3">
        <f t="shared" si="1"/>
        <v>3.48</v>
      </c>
      <c r="J28" s="3">
        <f t="shared" si="2"/>
        <v>2.554885057</v>
      </c>
      <c r="K28" s="3">
        <f t="shared" si="3"/>
        <v>0.3823975721</v>
      </c>
    </row>
    <row r="29" ht="15.75" customHeight="1">
      <c r="A29" s="2">
        <v>29.0</v>
      </c>
      <c r="B29" s="4">
        <v>10.228</v>
      </c>
      <c r="C29" s="4">
        <v>0.963</v>
      </c>
      <c r="D29" s="4">
        <v>2.839</v>
      </c>
      <c r="E29" s="4">
        <v>1.03</v>
      </c>
      <c r="F29" s="4">
        <v>0.179</v>
      </c>
      <c r="G29" s="4">
        <v>0.708</v>
      </c>
      <c r="H29" s="4">
        <v>0.213</v>
      </c>
      <c r="I29" s="3">
        <f t="shared" si="1"/>
        <v>3.802</v>
      </c>
      <c r="J29" s="3">
        <f t="shared" si="2"/>
        <v>2.690163072</v>
      </c>
      <c r="K29" s="3">
        <f t="shared" si="3"/>
        <v>0.2528248588</v>
      </c>
    </row>
    <row r="30" ht="15.75" customHeight="1">
      <c r="A30" s="2">
        <v>30.0</v>
      </c>
      <c r="B30" s="4">
        <v>12.354</v>
      </c>
      <c r="C30" s="4">
        <v>0.899</v>
      </c>
      <c r="D30" s="4">
        <v>2.719</v>
      </c>
      <c r="E30" s="4">
        <v>1.154</v>
      </c>
      <c r="F30" s="4">
        <v>0.226</v>
      </c>
      <c r="G30" s="4">
        <v>0.724</v>
      </c>
      <c r="H30" s="4">
        <v>0.149</v>
      </c>
      <c r="I30" s="3">
        <f t="shared" si="1"/>
        <v>3.618</v>
      </c>
      <c r="J30" s="3">
        <f t="shared" si="2"/>
        <v>3.414593698</v>
      </c>
      <c r="K30" s="3">
        <f t="shared" si="3"/>
        <v>0.3121546961</v>
      </c>
    </row>
    <row r="31" ht="15.75" customHeight="1">
      <c r="A31" s="2" t="s">
        <v>11</v>
      </c>
      <c r="B31" s="3">
        <f t="shared" ref="B31:K31" si="4">AVERAGE(B2:B30)</f>
        <v>9.800586207</v>
      </c>
      <c r="C31" s="3">
        <f t="shared" si="4"/>
        <v>1.018172414</v>
      </c>
      <c r="D31" s="3">
        <f t="shared" si="4"/>
        <v>2.514586207</v>
      </c>
      <c r="E31" s="3">
        <f t="shared" si="4"/>
        <v>1.035551724</v>
      </c>
      <c r="F31" s="3">
        <f t="shared" si="4"/>
        <v>0.1899551724</v>
      </c>
      <c r="G31" s="3">
        <f t="shared" si="4"/>
        <v>0.6076896552</v>
      </c>
      <c r="H31" s="3">
        <f t="shared" si="4"/>
        <v>0.1687931034</v>
      </c>
      <c r="I31" s="3">
        <f t="shared" si="4"/>
        <v>3.532758621</v>
      </c>
      <c r="J31" s="3">
        <f t="shared" si="4"/>
        <v>2.766998446</v>
      </c>
      <c r="K31" s="3">
        <f t="shared" si="4"/>
        <v>0.3155517316</v>
      </c>
    </row>
    <row r="32" ht="15.75" customHeight="1">
      <c r="A32" s="2" t="s">
        <v>12</v>
      </c>
      <c r="B32" s="3">
        <f t="shared" ref="B32:K32" si="5">STDEV(B2:B30)</f>
        <v>1.406943788</v>
      </c>
      <c r="C32" s="3">
        <f t="shared" si="5"/>
        <v>0.09185083753</v>
      </c>
      <c r="D32" s="3">
        <f t="shared" si="5"/>
        <v>0.1632755159</v>
      </c>
      <c r="E32" s="3">
        <f t="shared" si="5"/>
        <v>0.1389556934</v>
      </c>
      <c r="F32" s="3">
        <f t="shared" si="5"/>
        <v>0.04106285762</v>
      </c>
      <c r="G32" s="3">
        <f t="shared" si="5"/>
        <v>0.09468523171</v>
      </c>
      <c r="H32" s="3">
        <f t="shared" si="5"/>
        <v>0.02574792545</v>
      </c>
      <c r="I32" s="3">
        <f t="shared" si="5"/>
        <v>0.2006899982</v>
      </c>
      <c r="J32" s="3">
        <f t="shared" si="5"/>
        <v>0.3110373994</v>
      </c>
      <c r="K32" s="3">
        <f t="shared" si="5"/>
        <v>0.06107765773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71"/>
    <col customWidth="1" min="3" max="3" width="16.86"/>
    <col customWidth="1" min="4" max="4" width="14.57"/>
    <col customWidth="1" min="5" max="5" width="15.86"/>
    <col customWidth="1" min="6" max="6" width="10.43"/>
    <col customWidth="1" min="7" max="8" width="17.0"/>
    <col customWidth="1" min="9" max="9" width="8.86"/>
    <col customWidth="1" min="10" max="10" width="9.43"/>
    <col customWidth="1" min="11" max="11" width="10.71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4">
        <v>76.31</v>
      </c>
      <c r="C2" s="4">
        <v>7.13</v>
      </c>
      <c r="D2" s="4">
        <v>6.59</v>
      </c>
      <c r="E2" s="4">
        <v>5.99</v>
      </c>
      <c r="F2" s="4">
        <v>1.07</v>
      </c>
      <c r="G2" s="4">
        <v>2.484</v>
      </c>
      <c r="H2" s="4">
        <v>4.51</v>
      </c>
      <c r="I2" s="4">
        <f>C2+D2</f>
        <v>13.72</v>
      </c>
      <c r="J2" s="4">
        <f>B2/I2</f>
        <v>5.561953353</v>
      </c>
      <c r="K2" s="4">
        <f>F2/G2</f>
        <v>0.4307568438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0.71"/>
    <col customWidth="1" min="3" max="3" width="16.86"/>
    <col customWidth="1" min="4" max="4" width="14.57"/>
    <col customWidth="1" min="5" max="5" width="15.86"/>
    <col customWidth="1" min="6" max="6" width="10.43"/>
    <col customWidth="1" min="7" max="8" width="17.0"/>
    <col customWidth="1" min="9" max="9" width="8.86"/>
    <col customWidth="1" min="10" max="10" width="9.43"/>
    <col customWidth="1" min="11" max="11" width="10.71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150.951</v>
      </c>
      <c r="C2" s="3">
        <v>8.32</v>
      </c>
      <c r="D2" s="3">
        <v>11.702</v>
      </c>
      <c r="E2" s="3">
        <v>5.105</v>
      </c>
      <c r="F2" s="3">
        <v>1.022</v>
      </c>
      <c r="G2" s="3">
        <v>5.253</v>
      </c>
      <c r="H2" s="3">
        <v>8.062</v>
      </c>
      <c r="I2" s="3">
        <f t="shared" ref="I2:I31" si="1">C2+D2</f>
        <v>20.022</v>
      </c>
      <c r="J2" s="3">
        <f t="shared" ref="J2:J31" si="2">B2/I2</f>
        <v>7.539256818</v>
      </c>
      <c r="K2" s="3">
        <f t="shared" ref="K2:K31" si="3">F2/G2</f>
        <v>0.1945554921</v>
      </c>
    </row>
    <row r="3">
      <c r="A3" s="2">
        <v>2.0</v>
      </c>
      <c r="B3" s="3">
        <v>127.351</v>
      </c>
      <c r="C3" s="3">
        <v>5.14</v>
      </c>
      <c r="D3" s="3">
        <v>11.169</v>
      </c>
      <c r="E3" s="3">
        <v>3.033</v>
      </c>
      <c r="F3" s="3">
        <v>0.958</v>
      </c>
      <c r="G3" s="3">
        <v>4.331</v>
      </c>
      <c r="H3" s="3">
        <v>6.772</v>
      </c>
      <c r="I3" s="3">
        <f t="shared" si="1"/>
        <v>16.309</v>
      </c>
      <c r="J3" s="3">
        <f t="shared" si="2"/>
        <v>7.80863327</v>
      </c>
      <c r="K3" s="3">
        <f t="shared" si="3"/>
        <v>0.2211960286</v>
      </c>
    </row>
    <row r="4">
      <c r="A4" s="2">
        <v>3.0</v>
      </c>
      <c r="B4" s="3">
        <v>118.731</v>
      </c>
      <c r="C4" s="3">
        <v>4.781</v>
      </c>
      <c r="D4" s="3">
        <v>11.164</v>
      </c>
      <c r="E4" s="3">
        <v>3.558</v>
      </c>
      <c r="F4" s="3">
        <v>0.732</v>
      </c>
      <c r="G4" s="3">
        <v>4.297</v>
      </c>
      <c r="H4" s="3">
        <v>5.715</v>
      </c>
      <c r="I4" s="3">
        <f t="shared" si="1"/>
        <v>15.945</v>
      </c>
      <c r="J4" s="3">
        <f t="shared" si="2"/>
        <v>7.446284102</v>
      </c>
      <c r="K4" s="3">
        <f t="shared" si="3"/>
        <v>0.170351408</v>
      </c>
    </row>
    <row r="5">
      <c r="A5" s="2">
        <v>4.0</v>
      </c>
      <c r="B5" s="3">
        <v>108.414</v>
      </c>
      <c r="C5" s="3">
        <v>4.591</v>
      </c>
      <c r="D5" s="3">
        <v>9.711</v>
      </c>
      <c r="E5" s="3">
        <v>4.078</v>
      </c>
      <c r="F5" s="3">
        <v>0.928</v>
      </c>
      <c r="G5" s="3">
        <v>3.86</v>
      </c>
      <c r="H5" s="3">
        <v>5.065</v>
      </c>
      <c r="I5" s="3">
        <f t="shared" si="1"/>
        <v>14.302</v>
      </c>
      <c r="J5" s="3">
        <f t="shared" si="2"/>
        <v>7.580338414</v>
      </c>
      <c r="K5" s="3">
        <f t="shared" si="3"/>
        <v>0.2404145078</v>
      </c>
    </row>
    <row r="6">
      <c r="A6" s="2">
        <v>5.0</v>
      </c>
      <c r="B6" s="3">
        <v>143.772</v>
      </c>
      <c r="C6" s="3">
        <v>5.276</v>
      </c>
      <c r="D6" s="3">
        <v>11.507</v>
      </c>
      <c r="E6" s="3">
        <v>3.731</v>
      </c>
      <c r="F6" s="3">
        <v>1.002</v>
      </c>
      <c r="G6" s="3">
        <v>4.851</v>
      </c>
      <c r="H6" s="3">
        <v>6.963</v>
      </c>
      <c r="I6" s="3">
        <f t="shared" si="1"/>
        <v>16.783</v>
      </c>
      <c r="J6" s="3">
        <f t="shared" si="2"/>
        <v>8.566525651</v>
      </c>
      <c r="K6" s="3">
        <f t="shared" si="3"/>
        <v>0.2065553494</v>
      </c>
    </row>
    <row r="7">
      <c r="A7" s="2">
        <v>6.0</v>
      </c>
      <c r="B7" s="3">
        <v>136.581</v>
      </c>
      <c r="C7" s="3">
        <v>5.338</v>
      </c>
      <c r="D7" s="3">
        <v>11.305</v>
      </c>
      <c r="E7" s="3">
        <v>4.454</v>
      </c>
      <c r="F7" s="3">
        <v>1.069</v>
      </c>
      <c r="G7" s="3">
        <v>5.135</v>
      </c>
      <c r="H7" s="3">
        <v>6.789</v>
      </c>
      <c r="I7" s="3">
        <f t="shared" si="1"/>
        <v>16.643</v>
      </c>
      <c r="J7" s="3">
        <f t="shared" si="2"/>
        <v>8.206513249</v>
      </c>
      <c r="K7" s="3">
        <f t="shared" si="3"/>
        <v>0.2081791626</v>
      </c>
    </row>
    <row r="8">
      <c r="A8" s="2">
        <v>7.0</v>
      </c>
      <c r="B8" s="3">
        <v>127.124</v>
      </c>
      <c r="C8" s="3">
        <v>4.477</v>
      </c>
      <c r="D8" s="3">
        <v>11.35</v>
      </c>
      <c r="E8" s="3">
        <v>3.766</v>
      </c>
      <c r="F8" s="3">
        <v>1.067</v>
      </c>
      <c r="G8" s="3">
        <v>4.509</v>
      </c>
      <c r="H8" s="3">
        <v>6.308</v>
      </c>
      <c r="I8" s="3">
        <f t="shared" si="1"/>
        <v>15.827</v>
      </c>
      <c r="J8" s="3">
        <f t="shared" si="2"/>
        <v>8.032097049</v>
      </c>
      <c r="K8" s="3">
        <f t="shared" si="3"/>
        <v>0.2366378354</v>
      </c>
    </row>
    <row r="9">
      <c r="A9" s="2">
        <v>8.0</v>
      </c>
      <c r="B9" s="3">
        <v>85.607</v>
      </c>
      <c r="C9" s="3">
        <v>3.921</v>
      </c>
      <c r="D9" s="3">
        <v>9.759</v>
      </c>
      <c r="E9" s="3">
        <v>4.156</v>
      </c>
      <c r="F9" s="3">
        <v>1.062</v>
      </c>
      <c r="G9" s="3">
        <v>3.786</v>
      </c>
      <c r="H9" s="3">
        <v>4.74</v>
      </c>
      <c r="I9" s="3">
        <f t="shared" si="1"/>
        <v>13.68</v>
      </c>
      <c r="J9" s="3">
        <f t="shared" si="2"/>
        <v>6.257821637</v>
      </c>
      <c r="K9" s="3">
        <f t="shared" si="3"/>
        <v>0.2805071315</v>
      </c>
    </row>
    <row r="10">
      <c r="A10" s="2">
        <v>9.0</v>
      </c>
      <c r="B10" s="3">
        <v>134.518</v>
      </c>
      <c r="C10" s="3">
        <v>5.529</v>
      </c>
      <c r="D10" s="3">
        <v>10.856</v>
      </c>
      <c r="E10" s="3">
        <v>4.354</v>
      </c>
      <c r="F10" s="3">
        <v>1.074</v>
      </c>
      <c r="G10" s="3">
        <v>4.682</v>
      </c>
      <c r="H10" s="3">
        <v>6.429</v>
      </c>
      <c r="I10" s="3">
        <f t="shared" si="1"/>
        <v>16.385</v>
      </c>
      <c r="J10" s="3">
        <f t="shared" si="2"/>
        <v>8.20982606</v>
      </c>
      <c r="K10" s="3">
        <f t="shared" si="3"/>
        <v>0.2293891499</v>
      </c>
    </row>
    <row r="11">
      <c r="A11" s="2">
        <v>10.0</v>
      </c>
      <c r="B11" s="3">
        <v>137.937</v>
      </c>
      <c r="C11" s="3">
        <v>5.107</v>
      </c>
      <c r="D11" s="3">
        <v>11.562</v>
      </c>
      <c r="E11" s="3">
        <v>3.434</v>
      </c>
      <c r="F11" s="3">
        <v>1.095</v>
      </c>
      <c r="G11" s="3">
        <v>4.893</v>
      </c>
      <c r="H11" s="3">
        <v>6.255</v>
      </c>
      <c r="I11" s="3">
        <f t="shared" si="1"/>
        <v>16.669</v>
      </c>
      <c r="J11" s="3">
        <f t="shared" si="2"/>
        <v>8.275061491</v>
      </c>
      <c r="K11" s="3">
        <f t="shared" si="3"/>
        <v>0.2237890865</v>
      </c>
    </row>
    <row r="12">
      <c r="A12" s="2">
        <v>11.0</v>
      </c>
      <c r="B12" s="3">
        <v>100.876</v>
      </c>
      <c r="C12" s="3">
        <v>4.371</v>
      </c>
      <c r="D12" s="3">
        <v>10.631</v>
      </c>
      <c r="E12" s="3">
        <v>5.485</v>
      </c>
      <c r="F12" s="3">
        <v>0.764</v>
      </c>
      <c r="G12" s="3">
        <v>4.426</v>
      </c>
      <c r="H12" s="3">
        <v>5.846</v>
      </c>
      <c r="I12" s="3">
        <f t="shared" si="1"/>
        <v>15.002</v>
      </c>
      <c r="J12" s="3">
        <f t="shared" si="2"/>
        <v>6.724170111</v>
      </c>
      <c r="K12" s="3">
        <f t="shared" si="3"/>
        <v>0.1726163579</v>
      </c>
    </row>
    <row r="13">
      <c r="A13" s="2">
        <v>12.0</v>
      </c>
      <c r="B13" s="3">
        <v>87.194</v>
      </c>
      <c r="C13" s="3">
        <v>4.115</v>
      </c>
      <c r="D13" s="3">
        <v>8.181</v>
      </c>
      <c r="E13" s="3">
        <v>3.463</v>
      </c>
      <c r="F13" s="3">
        <v>0.942</v>
      </c>
      <c r="G13" s="3">
        <v>3.528</v>
      </c>
      <c r="H13" s="3">
        <v>3.818</v>
      </c>
      <c r="I13" s="3">
        <f t="shared" si="1"/>
        <v>12.296</v>
      </c>
      <c r="J13" s="3">
        <f t="shared" si="2"/>
        <v>7.091249187</v>
      </c>
      <c r="K13" s="3">
        <f t="shared" si="3"/>
        <v>0.2670068027</v>
      </c>
    </row>
    <row r="14">
      <c r="A14" s="2">
        <v>13.0</v>
      </c>
      <c r="B14" s="3">
        <v>80.469</v>
      </c>
      <c r="C14" s="3">
        <v>4.315</v>
      </c>
      <c r="D14" s="3">
        <v>8.992</v>
      </c>
      <c r="E14" s="3">
        <v>3.521</v>
      </c>
      <c r="F14" s="3">
        <v>0.75</v>
      </c>
      <c r="G14" s="3">
        <v>3.497</v>
      </c>
      <c r="H14" s="3">
        <v>3.914</v>
      </c>
      <c r="I14" s="3">
        <f t="shared" si="1"/>
        <v>13.307</v>
      </c>
      <c r="J14" s="3">
        <f t="shared" si="2"/>
        <v>6.047118058</v>
      </c>
      <c r="K14" s="3">
        <f t="shared" si="3"/>
        <v>0.2144695453</v>
      </c>
    </row>
    <row r="15">
      <c r="A15" s="2">
        <v>14.0</v>
      </c>
      <c r="B15" s="3">
        <v>149.929</v>
      </c>
      <c r="C15" s="3">
        <v>6.179</v>
      </c>
      <c r="D15" s="3">
        <v>11.421</v>
      </c>
      <c r="E15" s="3">
        <v>4.16</v>
      </c>
      <c r="F15" s="3">
        <v>1.029</v>
      </c>
      <c r="G15" s="3">
        <v>5.201</v>
      </c>
      <c r="H15" s="3">
        <v>7.688</v>
      </c>
      <c r="I15" s="3">
        <f t="shared" si="1"/>
        <v>17.6</v>
      </c>
      <c r="J15" s="3">
        <f t="shared" si="2"/>
        <v>8.518693182</v>
      </c>
      <c r="K15" s="3">
        <f t="shared" si="3"/>
        <v>0.197846568</v>
      </c>
    </row>
    <row r="16">
      <c r="A16" s="2">
        <v>15.0</v>
      </c>
      <c r="B16" s="3">
        <v>109.054</v>
      </c>
      <c r="C16" s="3">
        <v>5.444</v>
      </c>
      <c r="D16" s="3">
        <v>10.173</v>
      </c>
      <c r="E16" s="3">
        <v>3.298</v>
      </c>
      <c r="F16" s="3">
        <v>0.929</v>
      </c>
      <c r="G16" s="3">
        <v>4.385</v>
      </c>
      <c r="H16" s="3">
        <v>5.552</v>
      </c>
      <c r="I16" s="3">
        <f t="shared" si="1"/>
        <v>15.617</v>
      </c>
      <c r="J16" s="3">
        <f t="shared" si="2"/>
        <v>6.983031312</v>
      </c>
      <c r="K16" s="3">
        <f t="shared" si="3"/>
        <v>0.2118586089</v>
      </c>
    </row>
    <row r="17">
      <c r="A17" s="2">
        <v>16.0</v>
      </c>
      <c r="B17" s="3">
        <v>117.819</v>
      </c>
      <c r="C17" s="3">
        <v>5.406</v>
      </c>
      <c r="D17" s="3">
        <v>10.733</v>
      </c>
      <c r="E17" s="3">
        <v>3.339</v>
      </c>
      <c r="F17" s="3">
        <v>0.852</v>
      </c>
      <c r="G17" s="3">
        <v>4.171</v>
      </c>
      <c r="H17" s="3">
        <v>5.488</v>
      </c>
      <c r="I17" s="3">
        <f t="shared" si="1"/>
        <v>16.139</v>
      </c>
      <c r="J17" s="3">
        <f t="shared" si="2"/>
        <v>7.300266435</v>
      </c>
      <c r="K17" s="3">
        <f t="shared" si="3"/>
        <v>0.2042675617</v>
      </c>
    </row>
    <row r="18">
      <c r="A18" s="2">
        <v>17.0</v>
      </c>
      <c r="B18" s="3">
        <v>122.141</v>
      </c>
      <c r="C18" s="3">
        <v>5.075</v>
      </c>
      <c r="D18" s="3">
        <v>10.724</v>
      </c>
      <c r="E18" s="3">
        <v>4.723</v>
      </c>
      <c r="F18" s="3">
        <v>0.941</v>
      </c>
      <c r="G18" s="3">
        <v>4.94</v>
      </c>
      <c r="H18" s="3">
        <v>7.201</v>
      </c>
      <c r="I18" s="3">
        <f t="shared" si="1"/>
        <v>15.799</v>
      </c>
      <c r="J18" s="3">
        <f t="shared" si="2"/>
        <v>7.730932337</v>
      </c>
      <c r="K18" s="3">
        <f t="shared" si="3"/>
        <v>0.19048583</v>
      </c>
    </row>
    <row r="19">
      <c r="A19" s="2">
        <v>18.0</v>
      </c>
      <c r="B19" s="3">
        <v>124.642</v>
      </c>
      <c r="C19" s="3">
        <v>4.875</v>
      </c>
      <c r="D19" s="3">
        <v>11.365</v>
      </c>
      <c r="E19" s="3">
        <v>3.524</v>
      </c>
      <c r="F19" s="3">
        <v>1.052</v>
      </c>
      <c r="G19" s="3">
        <v>5.009</v>
      </c>
      <c r="H19" s="3">
        <v>6.835</v>
      </c>
      <c r="I19" s="3">
        <f t="shared" si="1"/>
        <v>16.24</v>
      </c>
      <c r="J19" s="3">
        <f t="shared" si="2"/>
        <v>7.675</v>
      </c>
      <c r="K19" s="3">
        <f t="shared" si="3"/>
        <v>0.2100219605</v>
      </c>
    </row>
    <row r="20">
      <c r="A20" s="2">
        <v>19.0</v>
      </c>
      <c r="B20" s="3">
        <v>82.011</v>
      </c>
      <c r="C20" s="3">
        <v>4.263</v>
      </c>
      <c r="D20" s="3">
        <v>9.591</v>
      </c>
      <c r="E20" s="3">
        <v>4.749</v>
      </c>
      <c r="F20" s="3">
        <v>0.974</v>
      </c>
      <c r="G20" s="3">
        <v>4.054</v>
      </c>
      <c r="H20" s="3">
        <v>4.533</v>
      </c>
      <c r="I20" s="3">
        <f t="shared" si="1"/>
        <v>13.854</v>
      </c>
      <c r="J20" s="3">
        <f t="shared" si="2"/>
        <v>5.919662191</v>
      </c>
      <c r="K20" s="3">
        <f t="shared" si="3"/>
        <v>0.2402565368</v>
      </c>
    </row>
    <row r="21" ht="15.75" customHeight="1">
      <c r="A21" s="2">
        <v>20.0</v>
      </c>
      <c r="B21" s="3">
        <v>130.408</v>
      </c>
      <c r="C21" s="3">
        <v>4.948</v>
      </c>
      <c r="D21" s="3">
        <v>10.612</v>
      </c>
      <c r="E21" s="3">
        <v>4.065</v>
      </c>
      <c r="F21" s="3">
        <v>0.864</v>
      </c>
      <c r="G21" s="3">
        <v>5.15</v>
      </c>
      <c r="H21" s="3">
        <v>6.684</v>
      </c>
      <c r="I21" s="3">
        <f t="shared" si="1"/>
        <v>15.56</v>
      </c>
      <c r="J21" s="3">
        <f t="shared" si="2"/>
        <v>8.380976864</v>
      </c>
      <c r="K21" s="3">
        <f t="shared" si="3"/>
        <v>0.1677669903</v>
      </c>
    </row>
    <row r="22" ht="15.75" customHeight="1">
      <c r="A22" s="2">
        <v>21.0</v>
      </c>
      <c r="B22" s="3">
        <v>143.283</v>
      </c>
      <c r="C22" s="3">
        <v>5.386</v>
      </c>
      <c r="D22" s="3">
        <v>11.742</v>
      </c>
      <c r="E22" s="3">
        <v>5.464</v>
      </c>
      <c r="F22" s="3">
        <v>1.054</v>
      </c>
      <c r="G22" s="3">
        <v>4.666</v>
      </c>
      <c r="H22" s="3">
        <v>4.253</v>
      </c>
      <c r="I22" s="3">
        <f t="shared" si="1"/>
        <v>17.128</v>
      </c>
      <c r="J22" s="3">
        <f t="shared" si="2"/>
        <v>8.365425035</v>
      </c>
      <c r="K22" s="3">
        <f t="shared" si="3"/>
        <v>0.2258894128</v>
      </c>
    </row>
    <row r="23" ht="15.75" customHeight="1">
      <c r="A23" s="2">
        <v>22.0</v>
      </c>
      <c r="B23" s="3">
        <v>141.65</v>
      </c>
      <c r="C23" s="3">
        <v>5.578</v>
      </c>
      <c r="D23" s="3">
        <v>10.979</v>
      </c>
      <c r="E23" s="3">
        <v>3.39</v>
      </c>
      <c r="F23" s="3">
        <v>0.862</v>
      </c>
      <c r="G23" s="3">
        <v>4.36</v>
      </c>
      <c r="H23" s="3">
        <v>6.95</v>
      </c>
      <c r="I23" s="3">
        <f t="shared" si="1"/>
        <v>16.557</v>
      </c>
      <c r="J23" s="3">
        <f t="shared" si="2"/>
        <v>8.555293833</v>
      </c>
      <c r="K23" s="3">
        <f t="shared" si="3"/>
        <v>0.197706422</v>
      </c>
    </row>
    <row r="24" ht="15.75" customHeight="1">
      <c r="A24" s="2">
        <v>23.0</v>
      </c>
      <c r="B24" s="3">
        <v>180.368</v>
      </c>
      <c r="C24" s="3">
        <v>5.083</v>
      </c>
      <c r="D24" s="3">
        <v>10.895</v>
      </c>
      <c r="E24" s="3">
        <v>3.78</v>
      </c>
      <c r="F24" s="3">
        <v>1.096</v>
      </c>
      <c r="G24" s="3">
        <v>4.721</v>
      </c>
      <c r="H24" s="3">
        <v>6.874</v>
      </c>
      <c r="I24" s="3">
        <f t="shared" si="1"/>
        <v>15.978</v>
      </c>
      <c r="J24" s="3">
        <f t="shared" si="2"/>
        <v>11.28852172</v>
      </c>
      <c r="K24" s="3">
        <f t="shared" si="3"/>
        <v>0.2321542046</v>
      </c>
    </row>
    <row r="25" ht="15.75" customHeight="1">
      <c r="A25" s="2">
        <v>24.0</v>
      </c>
      <c r="B25" s="3">
        <v>140.245</v>
      </c>
      <c r="C25" s="3">
        <v>5.294</v>
      </c>
      <c r="D25" s="3">
        <v>11.31</v>
      </c>
      <c r="E25" s="3">
        <v>4.336</v>
      </c>
      <c r="F25" s="3">
        <v>0.93</v>
      </c>
      <c r="G25" s="3">
        <v>4.922</v>
      </c>
      <c r="H25" s="3">
        <v>7.099</v>
      </c>
      <c r="I25" s="3">
        <f t="shared" si="1"/>
        <v>16.604</v>
      </c>
      <c r="J25" s="3">
        <f t="shared" si="2"/>
        <v>8.446458685</v>
      </c>
      <c r="K25" s="3">
        <f t="shared" si="3"/>
        <v>0.1889475823</v>
      </c>
    </row>
    <row r="26" ht="15.75" customHeight="1">
      <c r="A26" s="2">
        <v>25.0</v>
      </c>
      <c r="B26" s="3">
        <v>132.079</v>
      </c>
      <c r="C26" s="3">
        <v>5.233</v>
      </c>
      <c r="D26" s="3">
        <v>11.437</v>
      </c>
      <c r="E26" s="3">
        <v>4.708</v>
      </c>
      <c r="F26" s="3">
        <v>1.085</v>
      </c>
      <c r="G26" s="3">
        <v>4.997</v>
      </c>
      <c r="H26" s="3">
        <v>6.94</v>
      </c>
      <c r="I26" s="3">
        <f t="shared" si="1"/>
        <v>16.67</v>
      </c>
      <c r="J26" s="3">
        <f t="shared" si="2"/>
        <v>7.923155369</v>
      </c>
      <c r="K26" s="3">
        <f t="shared" si="3"/>
        <v>0.2171302782</v>
      </c>
    </row>
    <row r="27" ht="15.75" customHeight="1">
      <c r="A27" s="2">
        <v>26.0</v>
      </c>
      <c r="B27" s="3">
        <v>122.808</v>
      </c>
      <c r="C27" s="3">
        <v>2.742</v>
      </c>
      <c r="D27" s="3">
        <v>5.968</v>
      </c>
      <c r="E27" s="3">
        <v>4.504</v>
      </c>
      <c r="F27" s="3">
        <v>0.98</v>
      </c>
      <c r="G27" s="3">
        <v>4.786</v>
      </c>
      <c r="H27" s="3">
        <v>6.792</v>
      </c>
      <c r="I27" s="3">
        <f t="shared" si="1"/>
        <v>8.71</v>
      </c>
      <c r="J27" s="3">
        <f t="shared" si="2"/>
        <v>14.09965557</v>
      </c>
      <c r="K27" s="3">
        <f t="shared" si="3"/>
        <v>0.2047638947</v>
      </c>
    </row>
    <row r="28" ht="15.75" customHeight="1">
      <c r="A28" s="2">
        <v>27.0</v>
      </c>
      <c r="B28" s="3">
        <v>119.584</v>
      </c>
      <c r="C28" s="3">
        <v>4.961</v>
      </c>
      <c r="D28" s="3">
        <v>10.513</v>
      </c>
      <c r="E28" s="3">
        <v>4.803</v>
      </c>
      <c r="F28" s="3">
        <v>0.893</v>
      </c>
      <c r="G28" s="3">
        <v>4.477</v>
      </c>
      <c r="H28" s="3">
        <v>5.946</v>
      </c>
      <c r="I28" s="3">
        <f t="shared" si="1"/>
        <v>15.474</v>
      </c>
      <c r="J28" s="3">
        <f t="shared" si="2"/>
        <v>7.728059972</v>
      </c>
      <c r="K28" s="3">
        <f t="shared" si="3"/>
        <v>0.1994639267</v>
      </c>
    </row>
    <row r="29" ht="15.75" customHeight="1">
      <c r="A29" s="2">
        <v>28.0</v>
      </c>
      <c r="B29" s="3">
        <v>75.9393</v>
      </c>
      <c r="C29" s="3">
        <v>4.421</v>
      </c>
      <c r="D29" s="3">
        <v>8.325</v>
      </c>
      <c r="E29" s="3">
        <v>2.561</v>
      </c>
      <c r="F29" s="3">
        <v>0.836</v>
      </c>
      <c r="G29" s="3">
        <v>3.645</v>
      </c>
      <c r="H29" s="3">
        <v>3.72</v>
      </c>
      <c r="I29" s="3">
        <f t="shared" si="1"/>
        <v>12.746</v>
      </c>
      <c r="J29" s="3">
        <f t="shared" si="2"/>
        <v>5.957892672</v>
      </c>
      <c r="K29" s="3">
        <f t="shared" si="3"/>
        <v>0.2293552812</v>
      </c>
    </row>
    <row r="30" ht="15.75" customHeight="1">
      <c r="A30" s="2">
        <v>29.0</v>
      </c>
      <c r="B30" s="3">
        <v>95.765</v>
      </c>
      <c r="C30" s="3">
        <v>4.373</v>
      </c>
      <c r="D30" s="3">
        <v>8.91</v>
      </c>
      <c r="E30" s="3">
        <v>3.512</v>
      </c>
      <c r="F30" s="3">
        <v>0.769</v>
      </c>
      <c r="G30" s="3">
        <v>4.033</v>
      </c>
      <c r="H30" s="3">
        <v>4.221</v>
      </c>
      <c r="I30" s="3">
        <f t="shared" si="1"/>
        <v>13.283</v>
      </c>
      <c r="J30" s="3">
        <f t="shared" si="2"/>
        <v>7.209591207</v>
      </c>
      <c r="K30" s="3">
        <f t="shared" si="3"/>
        <v>0.1906769154</v>
      </c>
    </row>
    <row r="31" ht="15.75" customHeight="1">
      <c r="A31" s="2">
        <v>30.0</v>
      </c>
      <c r="B31" s="3">
        <v>113.409</v>
      </c>
      <c r="C31" s="3">
        <v>4.956</v>
      </c>
      <c r="D31" s="3">
        <v>10.18</v>
      </c>
      <c r="E31" s="3">
        <v>4.255</v>
      </c>
      <c r="F31" s="3">
        <v>0.97</v>
      </c>
      <c r="G31" s="3">
        <v>4.661</v>
      </c>
      <c r="H31" s="3">
        <v>6.42</v>
      </c>
      <c r="I31" s="3">
        <f t="shared" si="1"/>
        <v>15.136</v>
      </c>
      <c r="J31" s="3">
        <f t="shared" si="2"/>
        <v>7.49266649</v>
      </c>
      <c r="K31" s="3">
        <f t="shared" si="3"/>
        <v>0.2081098477</v>
      </c>
    </row>
    <row r="32" ht="15.75" customHeight="1">
      <c r="A32" s="2" t="s">
        <v>13</v>
      </c>
      <c r="B32" s="3">
        <f t="shared" ref="B32:K32" si="4">AVERAGE(B2:B31)</f>
        <v>121.35531</v>
      </c>
      <c r="C32" s="3">
        <f t="shared" si="4"/>
        <v>4.983266667</v>
      </c>
      <c r="D32" s="3">
        <f t="shared" si="4"/>
        <v>10.42556667</v>
      </c>
      <c r="E32" s="3">
        <f t="shared" si="4"/>
        <v>4.043633333</v>
      </c>
      <c r="F32" s="3">
        <f t="shared" si="4"/>
        <v>0.9527</v>
      </c>
      <c r="G32" s="3">
        <f t="shared" si="4"/>
        <v>4.507533333</v>
      </c>
      <c r="H32" s="3">
        <f t="shared" si="4"/>
        <v>5.995733333</v>
      </c>
      <c r="I32" s="3">
        <f t="shared" si="4"/>
        <v>15.40883333</v>
      </c>
      <c r="J32" s="3">
        <f t="shared" si="4"/>
        <v>7.912005932</v>
      </c>
      <c r="K32" s="3">
        <f t="shared" si="4"/>
        <v>0.212745656</v>
      </c>
    </row>
    <row r="33" ht="15.75" customHeight="1">
      <c r="A33" s="2" t="s">
        <v>14</v>
      </c>
      <c r="B33" s="3">
        <f t="shared" ref="B33:K33" si="5">STDEV(B2:B31)</f>
        <v>24.27754417</v>
      </c>
      <c r="C33" s="3">
        <f t="shared" si="5"/>
        <v>0.9020404813</v>
      </c>
      <c r="D33" s="3">
        <f t="shared" si="5"/>
        <v>1.295295138</v>
      </c>
      <c r="E33" s="3">
        <f t="shared" si="5"/>
        <v>0.7082579154</v>
      </c>
      <c r="F33" s="3">
        <f t="shared" si="5"/>
        <v>0.1099759065</v>
      </c>
      <c r="G33" s="3">
        <f t="shared" si="5"/>
        <v>0.5082164712</v>
      </c>
      <c r="H33" s="3">
        <f t="shared" si="5"/>
        <v>1.210183199</v>
      </c>
      <c r="I33" s="3">
        <f t="shared" si="5"/>
        <v>2.032783145</v>
      </c>
      <c r="J33" s="3">
        <f t="shared" si="5"/>
        <v>1.559438403</v>
      </c>
      <c r="K33" s="3">
        <f t="shared" si="5"/>
        <v>0.02566799441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6.86"/>
    <col customWidth="1" min="4" max="4" width="14.57"/>
    <col customWidth="1" min="5" max="5" width="15.86"/>
    <col customWidth="1" min="6" max="6" width="12.0"/>
    <col customWidth="1" min="7" max="8" width="17.0"/>
    <col customWidth="1" min="9" max="11" width="12.0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>
        <v>50.53</v>
      </c>
      <c r="C2" s="2">
        <v>2.77</v>
      </c>
      <c r="D2" s="2">
        <v>6.09</v>
      </c>
      <c r="E2" s="2">
        <v>3.01</v>
      </c>
      <c r="F2" s="2">
        <v>0.83</v>
      </c>
      <c r="G2" s="2">
        <v>2.74</v>
      </c>
      <c r="H2" s="2">
        <v>1.47</v>
      </c>
      <c r="I2" s="2">
        <f t="shared" ref="I2:I31" si="1">C2+D2</f>
        <v>8.86</v>
      </c>
      <c r="J2" s="2">
        <f t="shared" ref="J2:J31" si="2">B2/I2</f>
        <v>5.703160271</v>
      </c>
      <c r="K2" s="2">
        <f t="shared" ref="K2:K31" si="3">F2/G2</f>
        <v>0.302919708</v>
      </c>
    </row>
    <row r="3">
      <c r="A3" s="2">
        <v>2.0</v>
      </c>
      <c r="B3" s="2">
        <v>50.3</v>
      </c>
      <c r="C3" s="3">
        <v>3.192</v>
      </c>
      <c r="D3" s="2">
        <v>4.88</v>
      </c>
      <c r="E3" s="3">
        <v>3.501</v>
      </c>
      <c r="F3" s="3">
        <v>0.719</v>
      </c>
      <c r="G3" s="3">
        <v>2.14</v>
      </c>
      <c r="H3" s="3">
        <v>1.65</v>
      </c>
      <c r="I3" s="5">
        <f t="shared" si="1"/>
        <v>8.072</v>
      </c>
      <c r="J3" s="2">
        <f t="shared" si="2"/>
        <v>6.231417245</v>
      </c>
      <c r="K3" s="2">
        <f t="shared" si="3"/>
        <v>0.3359813084</v>
      </c>
    </row>
    <row r="4">
      <c r="A4" s="2">
        <v>3.0</v>
      </c>
      <c r="B4" s="2">
        <v>58.41</v>
      </c>
      <c r="C4" s="2">
        <v>3.66</v>
      </c>
      <c r="D4" s="2">
        <v>6.05</v>
      </c>
      <c r="E4" s="2">
        <v>3.61</v>
      </c>
      <c r="F4" s="2">
        <v>0.71</v>
      </c>
      <c r="G4" s="2">
        <v>2.55</v>
      </c>
      <c r="H4" s="2">
        <v>2.58</v>
      </c>
      <c r="I4" s="2">
        <f t="shared" si="1"/>
        <v>9.71</v>
      </c>
      <c r="J4" s="2">
        <f t="shared" si="2"/>
        <v>6.015447992</v>
      </c>
      <c r="K4" s="2">
        <f t="shared" si="3"/>
        <v>0.2784313725</v>
      </c>
    </row>
    <row r="5">
      <c r="A5" s="2">
        <v>4.0</v>
      </c>
      <c r="B5" s="2">
        <v>48.62</v>
      </c>
      <c r="C5" s="2">
        <v>2.71</v>
      </c>
      <c r="D5" s="2">
        <v>5.61</v>
      </c>
      <c r="E5" s="2">
        <v>3.2</v>
      </c>
      <c r="F5" s="2">
        <v>0.91</v>
      </c>
      <c r="G5" s="2">
        <v>1.95</v>
      </c>
      <c r="H5" s="2">
        <v>1.46</v>
      </c>
      <c r="I5" s="2">
        <f t="shared" si="1"/>
        <v>8.32</v>
      </c>
      <c r="J5" s="2">
        <f t="shared" si="2"/>
        <v>5.84375</v>
      </c>
      <c r="K5" s="2">
        <f t="shared" si="3"/>
        <v>0.4666666667</v>
      </c>
    </row>
    <row r="6">
      <c r="A6" s="2">
        <v>5.0</v>
      </c>
      <c r="B6" s="2">
        <v>48.21</v>
      </c>
      <c r="C6" s="2">
        <v>2.85</v>
      </c>
      <c r="D6" s="2">
        <v>5.26</v>
      </c>
      <c r="E6" s="2">
        <v>3.77</v>
      </c>
      <c r="F6" s="2">
        <v>0.64</v>
      </c>
      <c r="G6" s="2">
        <v>1.44</v>
      </c>
      <c r="H6" s="2">
        <v>1.45</v>
      </c>
      <c r="I6" s="2">
        <f t="shared" si="1"/>
        <v>8.11</v>
      </c>
      <c r="J6" s="2">
        <f t="shared" si="2"/>
        <v>5.944512947</v>
      </c>
      <c r="K6" s="2">
        <f t="shared" si="3"/>
        <v>0.4444444444</v>
      </c>
    </row>
    <row r="7">
      <c r="A7" s="2">
        <v>6.0</v>
      </c>
      <c r="B7" s="2">
        <v>53.08</v>
      </c>
      <c r="C7" s="2">
        <v>3.02</v>
      </c>
      <c r="D7" s="2">
        <v>6.19</v>
      </c>
      <c r="E7" s="2">
        <v>3.31</v>
      </c>
      <c r="F7" s="2">
        <v>0.82</v>
      </c>
      <c r="G7" s="2">
        <v>2.14</v>
      </c>
      <c r="H7" s="2">
        <v>1.76</v>
      </c>
      <c r="I7" s="2">
        <f t="shared" si="1"/>
        <v>9.21</v>
      </c>
      <c r="J7" s="2">
        <f t="shared" si="2"/>
        <v>5.76330076</v>
      </c>
      <c r="K7" s="2">
        <f t="shared" si="3"/>
        <v>0.3831775701</v>
      </c>
    </row>
    <row r="8">
      <c r="A8" s="2">
        <v>7.0</v>
      </c>
      <c r="B8" s="2">
        <v>59.22</v>
      </c>
      <c r="C8" s="2">
        <v>3.31</v>
      </c>
      <c r="D8" s="2">
        <v>6.13</v>
      </c>
      <c r="E8" s="2">
        <v>3.43</v>
      </c>
      <c r="F8" s="2">
        <v>0.9</v>
      </c>
      <c r="G8" s="2">
        <v>1.77</v>
      </c>
      <c r="H8" s="2">
        <v>1.88</v>
      </c>
      <c r="I8" s="2">
        <f t="shared" si="1"/>
        <v>9.44</v>
      </c>
      <c r="J8" s="2">
        <f t="shared" si="2"/>
        <v>6.273305085</v>
      </c>
      <c r="K8" s="2">
        <f t="shared" si="3"/>
        <v>0.5084745763</v>
      </c>
    </row>
    <row r="9">
      <c r="A9" s="2">
        <v>8.0</v>
      </c>
      <c r="B9" s="2">
        <v>55.5</v>
      </c>
      <c r="C9" s="2">
        <v>3.27</v>
      </c>
      <c r="D9" s="2">
        <v>5.73</v>
      </c>
      <c r="E9" s="2">
        <v>3.07</v>
      </c>
      <c r="F9" s="2">
        <v>0.84</v>
      </c>
      <c r="G9" s="2">
        <v>1.88</v>
      </c>
      <c r="H9" s="2">
        <v>1.88</v>
      </c>
      <c r="I9" s="2">
        <f t="shared" si="1"/>
        <v>9</v>
      </c>
      <c r="J9" s="2">
        <f t="shared" si="2"/>
        <v>6.166666667</v>
      </c>
      <c r="K9" s="2">
        <f t="shared" si="3"/>
        <v>0.4468085106</v>
      </c>
    </row>
    <row r="10">
      <c r="A10" s="2">
        <v>9.0</v>
      </c>
      <c r="B10" s="2">
        <v>44.73</v>
      </c>
      <c r="C10" s="2">
        <v>3.17</v>
      </c>
      <c r="D10" s="2">
        <v>5.69</v>
      </c>
      <c r="E10" s="2">
        <v>2.84</v>
      </c>
      <c r="F10" s="2">
        <v>0.68</v>
      </c>
      <c r="G10" s="2">
        <v>2.06</v>
      </c>
      <c r="H10" s="2">
        <v>1.41</v>
      </c>
      <c r="I10" s="2">
        <f t="shared" si="1"/>
        <v>8.86</v>
      </c>
      <c r="J10" s="2">
        <f t="shared" si="2"/>
        <v>5.048532731</v>
      </c>
      <c r="K10" s="2">
        <f t="shared" si="3"/>
        <v>0.3300970874</v>
      </c>
    </row>
    <row r="11">
      <c r="A11" s="2">
        <v>10.0</v>
      </c>
      <c r="B11" s="2">
        <v>53.76</v>
      </c>
      <c r="C11" s="2">
        <v>2.84</v>
      </c>
      <c r="D11" s="2">
        <v>5.12</v>
      </c>
      <c r="E11" s="2">
        <v>3.33</v>
      </c>
      <c r="F11" s="2">
        <v>0.64</v>
      </c>
      <c r="G11" s="2">
        <v>1.62</v>
      </c>
      <c r="H11" s="2">
        <v>1.35</v>
      </c>
      <c r="I11" s="2">
        <f t="shared" si="1"/>
        <v>7.96</v>
      </c>
      <c r="J11" s="2">
        <f t="shared" si="2"/>
        <v>6.753768844</v>
      </c>
      <c r="K11" s="2">
        <f t="shared" si="3"/>
        <v>0.3950617284</v>
      </c>
    </row>
    <row r="12">
      <c r="A12" s="2">
        <v>11.0</v>
      </c>
      <c r="B12" s="2">
        <v>84.71</v>
      </c>
      <c r="C12" s="2">
        <v>3.8</v>
      </c>
      <c r="D12" s="2">
        <v>7.15</v>
      </c>
      <c r="E12" s="2">
        <v>4.52</v>
      </c>
      <c r="F12" s="2">
        <v>1.08</v>
      </c>
      <c r="G12" s="2">
        <v>2.48</v>
      </c>
      <c r="H12" s="2">
        <v>3.16</v>
      </c>
      <c r="I12" s="2">
        <f t="shared" si="1"/>
        <v>10.95</v>
      </c>
      <c r="J12" s="2">
        <f t="shared" si="2"/>
        <v>7.736073059</v>
      </c>
      <c r="K12" s="2">
        <f t="shared" si="3"/>
        <v>0.435483871</v>
      </c>
    </row>
    <row r="13">
      <c r="A13" s="2">
        <v>12.0</v>
      </c>
      <c r="B13" s="2">
        <v>66.56</v>
      </c>
      <c r="C13" s="2">
        <v>3.18</v>
      </c>
      <c r="D13" s="2">
        <v>5.93</v>
      </c>
      <c r="E13" s="2">
        <v>3.59</v>
      </c>
      <c r="F13" s="2">
        <v>1.0</v>
      </c>
      <c r="G13" s="2">
        <v>1.57</v>
      </c>
      <c r="H13" s="2">
        <v>1.6</v>
      </c>
      <c r="I13" s="2">
        <f t="shared" si="1"/>
        <v>9.11</v>
      </c>
      <c r="J13" s="2">
        <f t="shared" si="2"/>
        <v>7.306256861</v>
      </c>
      <c r="K13" s="2">
        <f t="shared" si="3"/>
        <v>0.6369426752</v>
      </c>
    </row>
    <row r="14">
      <c r="A14" s="2">
        <v>13.0</v>
      </c>
      <c r="B14" s="2">
        <v>70.9</v>
      </c>
      <c r="C14" s="2">
        <v>3.06</v>
      </c>
      <c r="D14" s="2">
        <v>6.21</v>
      </c>
      <c r="E14" s="2">
        <v>4.87</v>
      </c>
      <c r="F14" s="2">
        <v>0.87</v>
      </c>
      <c r="G14" s="2">
        <v>1.96</v>
      </c>
      <c r="H14" s="2">
        <v>1.87</v>
      </c>
      <c r="I14" s="2">
        <f t="shared" si="1"/>
        <v>9.27</v>
      </c>
      <c r="J14" s="2">
        <f t="shared" si="2"/>
        <v>7.64832794</v>
      </c>
      <c r="K14" s="2">
        <f t="shared" si="3"/>
        <v>0.443877551</v>
      </c>
    </row>
    <row r="15">
      <c r="A15" s="2">
        <v>14.0</v>
      </c>
      <c r="B15" s="2">
        <v>48.99</v>
      </c>
      <c r="C15" s="2">
        <v>2.82</v>
      </c>
      <c r="D15" s="2">
        <v>5.38</v>
      </c>
      <c r="E15" s="2">
        <v>3.98</v>
      </c>
      <c r="F15" s="2">
        <v>0.77</v>
      </c>
      <c r="G15" s="2">
        <v>1.42</v>
      </c>
      <c r="H15" s="2">
        <v>1.29</v>
      </c>
      <c r="I15" s="2">
        <f t="shared" si="1"/>
        <v>8.2</v>
      </c>
      <c r="J15" s="2">
        <f t="shared" si="2"/>
        <v>5.974390244</v>
      </c>
      <c r="K15" s="2">
        <f t="shared" si="3"/>
        <v>0.5422535211</v>
      </c>
    </row>
    <row r="16">
      <c r="A16" s="2">
        <v>15.0</v>
      </c>
      <c r="B16" s="2">
        <v>58.14</v>
      </c>
      <c r="C16" s="2">
        <v>3.44</v>
      </c>
      <c r="D16" s="2">
        <v>5.52</v>
      </c>
      <c r="E16" s="2">
        <v>3.28</v>
      </c>
      <c r="F16" s="2">
        <v>0.75</v>
      </c>
      <c r="G16" s="2">
        <v>1.74</v>
      </c>
      <c r="H16" s="2">
        <v>1.64</v>
      </c>
      <c r="I16" s="2">
        <f t="shared" si="1"/>
        <v>8.96</v>
      </c>
      <c r="J16" s="2">
        <f t="shared" si="2"/>
        <v>6.488839286</v>
      </c>
      <c r="K16" s="2">
        <f t="shared" si="3"/>
        <v>0.4310344828</v>
      </c>
    </row>
    <row r="17">
      <c r="A17" s="2">
        <v>16.0</v>
      </c>
      <c r="B17" s="2">
        <v>50.57</v>
      </c>
      <c r="C17" s="2">
        <v>2.66</v>
      </c>
      <c r="D17" s="2">
        <v>4.99</v>
      </c>
      <c r="E17" s="2">
        <v>3.57</v>
      </c>
      <c r="F17" s="2">
        <v>0.71</v>
      </c>
      <c r="G17" s="2">
        <v>1.62</v>
      </c>
      <c r="H17" s="2">
        <v>1.47</v>
      </c>
      <c r="I17" s="2">
        <f t="shared" si="1"/>
        <v>7.65</v>
      </c>
      <c r="J17" s="2">
        <f t="shared" si="2"/>
        <v>6.610457516</v>
      </c>
      <c r="K17" s="2">
        <f t="shared" si="3"/>
        <v>0.4382716049</v>
      </c>
    </row>
    <row r="18">
      <c r="A18" s="2">
        <v>17.0</v>
      </c>
      <c r="B18" s="2">
        <v>65.82</v>
      </c>
      <c r="C18" s="2">
        <v>3.72</v>
      </c>
      <c r="D18" s="2">
        <v>6.07</v>
      </c>
      <c r="E18" s="2">
        <v>5.01</v>
      </c>
      <c r="F18" s="2">
        <v>0.94</v>
      </c>
      <c r="G18" s="2">
        <v>2.11</v>
      </c>
      <c r="H18" s="2">
        <v>2.35</v>
      </c>
      <c r="I18" s="2">
        <f t="shared" si="1"/>
        <v>9.79</v>
      </c>
      <c r="J18" s="2">
        <f t="shared" si="2"/>
        <v>6.723186925</v>
      </c>
      <c r="K18" s="2">
        <f t="shared" si="3"/>
        <v>0.4454976303</v>
      </c>
    </row>
    <row r="19">
      <c r="A19" s="2">
        <v>18.0</v>
      </c>
      <c r="B19" s="2">
        <v>57.39</v>
      </c>
      <c r="C19" s="2">
        <v>3.29</v>
      </c>
      <c r="D19" s="2">
        <v>5.63</v>
      </c>
      <c r="E19" s="2">
        <v>3.52</v>
      </c>
      <c r="F19" s="2">
        <v>0.79</v>
      </c>
      <c r="G19" s="2">
        <v>1.5</v>
      </c>
      <c r="H19" s="2">
        <v>1.73</v>
      </c>
      <c r="I19" s="2">
        <f t="shared" si="1"/>
        <v>8.92</v>
      </c>
      <c r="J19" s="2">
        <f t="shared" si="2"/>
        <v>6.433856502</v>
      </c>
      <c r="K19" s="2">
        <f t="shared" si="3"/>
        <v>0.5266666667</v>
      </c>
    </row>
    <row r="20">
      <c r="A20" s="2">
        <v>19.0</v>
      </c>
      <c r="B20" s="2">
        <v>64.95</v>
      </c>
      <c r="C20" s="2">
        <v>3.35</v>
      </c>
      <c r="D20" s="2">
        <v>5.88</v>
      </c>
      <c r="E20" s="2">
        <v>4.1</v>
      </c>
      <c r="F20" s="2">
        <v>1.0</v>
      </c>
      <c r="G20" s="2">
        <v>2.04</v>
      </c>
      <c r="H20" s="2">
        <v>2.24</v>
      </c>
      <c r="I20" s="2">
        <f t="shared" si="1"/>
        <v>9.23</v>
      </c>
      <c r="J20" s="2">
        <f t="shared" si="2"/>
        <v>7.036836403</v>
      </c>
      <c r="K20" s="2">
        <f t="shared" si="3"/>
        <v>0.4901960784</v>
      </c>
    </row>
    <row r="21" ht="15.75" customHeight="1">
      <c r="A21" s="2">
        <v>20.0</v>
      </c>
      <c r="B21" s="2">
        <v>63.2</v>
      </c>
      <c r="C21" s="2">
        <v>3.91</v>
      </c>
      <c r="D21" s="2">
        <v>5.93</v>
      </c>
      <c r="E21" s="2">
        <v>4.27</v>
      </c>
      <c r="F21" s="2">
        <v>1.12</v>
      </c>
      <c r="G21" s="2">
        <v>1.68</v>
      </c>
      <c r="H21" s="2">
        <v>1.92</v>
      </c>
      <c r="I21" s="2">
        <f t="shared" si="1"/>
        <v>9.84</v>
      </c>
      <c r="J21" s="2">
        <f t="shared" si="2"/>
        <v>6.422764228</v>
      </c>
      <c r="K21" s="2">
        <f t="shared" si="3"/>
        <v>0.6666666667</v>
      </c>
    </row>
    <row r="22" ht="15.75" customHeight="1">
      <c r="A22" s="2">
        <v>21.0</v>
      </c>
      <c r="B22" s="2">
        <v>57.64</v>
      </c>
      <c r="C22" s="2">
        <v>3.4</v>
      </c>
      <c r="D22" s="2">
        <v>7.06</v>
      </c>
      <c r="E22" s="2">
        <v>3.17</v>
      </c>
      <c r="F22" s="2">
        <v>0.62</v>
      </c>
      <c r="G22" s="2">
        <v>1.86</v>
      </c>
      <c r="H22" s="2">
        <v>2.01</v>
      </c>
      <c r="I22" s="2">
        <f t="shared" si="1"/>
        <v>10.46</v>
      </c>
      <c r="J22" s="2">
        <f t="shared" si="2"/>
        <v>5.510516252</v>
      </c>
      <c r="K22" s="2">
        <f t="shared" si="3"/>
        <v>0.3333333333</v>
      </c>
    </row>
    <row r="23" ht="15.75" customHeight="1">
      <c r="A23" s="2">
        <v>22.0</v>
      </c>
      <c r="B23" s="2">
        <v>52.34</v>
      </c>
      <c r="C23" s="2">
        <v>3.37</v>
      </c>
      <c r="D23" s="2">
        <v>5.61</v>
      </c>
      <c r="E23" s="2">
        <v>3.53</v>
      </c>
      <c r="F23" s="2">
        <v>0.86</v>
      </c>
      <c r="G23" s="2">
        <v>1.81</v>
      </c>
      <c r="H23" s="2">
        <v>1.93</v>
      </c>
      <c r="I23" s="2">
        <f t="shared" si="1"/>
        <v>8.98</v>
      </c>
      <c r="J23" s="2">
        <f t="shared" si="2"/>
        <v>5.828507795</v>
      </c>
      <c r="K23" s="2">
        <f t="shared" si="3"/>
        <v>0.4751381215</v>
      </c>
    </row>
    <row r="24" ht="15.75" customHeight="1">
      <c r="A24" s="2">
        <v>23.0</v>
      </c>
      <c r="B24" s="2">
        <v>49.71</v>
      </c>
      <c r="C24" s="2">
        <v>2.97</v>
      </c>
      <c r="D24" s="2">
        <v>5.99</v>
      </c>
      <c r="E24" s="2">
        <v>3.62</v>
      </c>
      <c r="F24" s="2">
        <v>0.83</v>
      </c>
      <c r="G24" s="2">
        <v>1.79</v>
      </c>
      <c r="H24" s="2">
        <v>1.51</v>
      </c>
      <c r="I24" s="2">
        <f t="shared" si="1"/>
        <v>8.96</v>
      </c>
      <c r="J24" s="2">
        <f t="shared" si="2"/>
        <v>5.547991071</v>
      </c>
      <c r="K24" s="2">
        <f t="shared" si="3"/>
        <v>0.4636871508</v>
      </c>
    </row>
    <row r="25" ht="15.75" customHeight="1">
      <c r="A25" s="2">
        <v>24.0</v>
      </c>
      <c r="B25" s="2">
        <v>52.02</v>
      </c>
      <c r="C25" s="2">
        <v>3.12</v>
      </c>
      <c r="D25" s="2">
        <v>5.79</v>
      </c>
      <c r="E25" s="2">
        <v>3.72</v>
      </c>
      <c r="F25" s="2">
        <v>0.9</v>
      </c>
      <c r="G25" s="2">
        <v>1.64</v>
      </c>
      <c r="H25" s="2">
        <v>1.8</v>
      </c>
      <c r="I25" s="2">
        <f t="shared" si="1"/>
        <v>8.91</v>
      </c>
      <c r="J25" s="2">
        <f t="shared" si="2"/>
        <v>5.838383838</v>
      </c>
      <c r="K25" s="2">
        <f t="shared" si="3"/>
        <v>0.5487804878</v>
      </c>
    </row>
    <row r="26" ht="15.75" customHeight="1">
      <c r="A26" s="2">
        <v>25.0</v>
      </c>
      <c r="B26" s="2">
        <v>55.22</v>
      </c>
      <c r="C26" s="2">
        <v>3.16</v>
      </c>
      <c r="D26" s="2">
        <v>5.32</v>
      </c>
      <c r="E26" s="2">
        <v>3.52</v>
      </c>
      <c r="F26" s="2">
        <v>0.82</v>
      </c>
      <c r="G26" s="2">
        <v>1.65</v>
      </c>
      <c r="H26" s="2">
        <v>1.3</v>
      </c>
      <c r="I26" s="2">
        <f t="shared" si="1"/>
        <v>8.48</v>
      </c>
      <c r="J26" s="2">
        <f t="shared" si="2"/>
        <v>6.511792453</v>
      </c>
      <c r="K26" s="2">
        <f t="shared" si="3"/>
        <v>0.496969697</v>
      </c>
    </row>
    <row r="27" ht="15.75" customHeight="1">
      <c r="A27" s="2">
        <v>26.0</v>
      </c>
      <c r="B27" s="2">
        <v>53.43</v>
      </c>
      <c r="C27" s="2">
        <v>2.69</v>
      </c>
      <c r="D27" s="2">
        <v>5.1</v>
      </c>
      <c r="E27" s="2">
        <v>3.13</v>
      </c>
      <c r="F27" s="2">
        <v>0.98</v>
      </c>
      <c r="G27" s="2">
        <v>2.27</v>
      </c>
      <c r="H27" s="2">
        <v>1.78</v>
      </c>
      <c r="I27" s="2">
        <f t="shared" si="1"/>
        <v>7.79</v>
      </c>
      <c r="J27" s="2">
        <f t="shared" si="2"/>
        <v>6.858793325</v>
      </c>
      <c r="K27" s="2">
        <f t="shared" si="3"/>
        <v>0.4317180617</v>
      </c>
    </row>
    <row r="28" ht="15.75" customHeight="1">
      <c r="A28" s="2">
        <v>27.0</v>
      </c>
      <c r="B28" s="2">
        <v>78.94</v>
      </c>
      <c r="C28" s="2">
        <v>3.87</v>
      </c>
      <c r="D28" s="2">
        <v>6.54</v>
      </c>
      <c r="E28" s="2">
        <v>3.59</v>
      </c>
      <c r="F28" s="2">
        <v>1.02</v>
      </c>
      <c r="G28" s="2">
        <v>1.96</v>
      </c>
      <c r="H28" s="2">
        <v>2.62</v>
      </c>
      <c r="I28" s="2">
        <f t="shared" si="1"/>
        <v>10.41</v>
      </c>
      <c r="J28" s="2">
        <f t="shared" si="2"/>
        <v>7.58309318</v>
      </c>
      <c r="K28" s="2">
        <f t="shared" si="3"/>
        <v>0.5204081633</v>
      </c>
    </row>
    <row r="29" ht="15.75" customHeight="1">
      <c r="A29" s="2">
        <v>28.0</v>
      </c>
      <c r="B29" s="2">
        <v>68.22</v>
      </c>
      <c r="C29" s="2">
        <v>3.65</v>
      </c>
      <c r="D29" s="2">
        <v>6.13</v>
      </c>
      <c r="E29" s="2">
        <v>3.04</v>
      </c>
      <c r="F29" s="2">
        <v>0.85</v>
      </c>
      <c r="G29" s="2">
        <v>1.89</v>
      </c>
      <c r="H29" s="2">
        <v>1.87</v>
      </c>
      <c r="I29" s="2">
        <f t="shared" si="1"/>
        <v>9.78</v>
      </c>
      <c r="J29" s="2">
        <f t="shared" si="2"/>
        <v>6.975460123</v>
      </c>
      <c r="K29" s="2">
        <f t="shared" si="3"/>
        <v>0.4497354497</v>
      </c>
    </row>
    <row r="30" ht="15.75" customHeight="1">
      <c r="A30" s="2">
        <v>29.0</v>
      </c>
      <c r="B30" s="2">
        <v>58.41</v>
      </c>
      <c r="C30" s="2">
        <v>3.22</v>
      </c>
      <c r="D30" s="2">
        <v>5.56</v>
      </c>
      <c r="E30" s="2">
        <v>3.12</v>
      </c>
      <c r="F30" s="2">
        <v>1.09</v>
      </c>
      <c r="G30" s="2">
        <v>2.11</v>
      </c>
      <c r="H30" s="2">
        <v>2.51</v>
      </c>
      <c r="I30" s="2">
        <f t="shared" si="1"/>
        <v>8.78</v>
      </c>
      <c r="J30" s="2">
        <f t="shared" si="2"/>
        <v>6.65261959</v>
      </c>
      <c r="K30" s="2">
        <f t="shared" si="3"/>
        <v>0.5165876777</v>
      </c>
    </row>
    <row r="31" ht="15.75" customHeight="1">
      <c r="A31" s="2">
        <v>30.0</v>
      </c>
      <c r="B31" s="2">
        <v>62.9</v>
      </c>
      <c r="C31" s="2">
        <v>3.23</v>
      </c>
      <c r="D31" s="2">
        <v>5.97</v>
      </c>
      <c r="E31" s="2">
        <v>3.41</v>
      </c>
      <c r="F31" s="2">
        <v>0.9</v>
      </c>
      <c r="G31" s="2">
        <v>1.74</v>
      </c>
      <c r="H31" s="2">
        <v>1.76</v>
      </c>
      <c r="I31" s="2">
        <f t="shared" si="1"/>
        <v>9.2</v>
      </c>
      <c r="J31" s="2">
        <f t="shared" si="2"/>
        <v>6.836956522</v>
      </c>
      <c r="K31" s="2">
        <f t="shared" si="3"/>
        <v>0.5172413793</v>
      </c>
    </row>
    <row r="32" ht="15.75" customHeight="1">
      <c r="A32" s="2" t="s">
        <v>11</v>
      </c>
      <c r="B32" s="3">
        <f t="shared" ref="B32:K32" si="4">AVERAGE(B2:B31)</f>
        <v>58.08066667</v>
      </c>
      <c r="C32" s="3">
        <f t="shared" si="4"/>
        <v>3.2234</v>
      </c>
      <c r="D32" s="3">
        <f t="shared" si="4"/>
        <v>5.817</v>
      </c>
      <c r="E32" s="3">
        <f t="shared" si="4"/>
        <v>3.5877</v>
      </c>
      <c r="F32" s="3">
        <f t="shared" si="4"/>
        <v>0.8529666667</v>
      </c>
      <c r="G32" s="3">
        <f t="shared" si="4"/>
        <v>1.904333333</v>
      </c>
      <c r="H32" s="3">
        <f t="shared" si="4"/>
        <v>1.841666667</v>
      </c>
      <c r="I32" s="3">
        <f t="shared" si="4"/>
        <v>9.0404</v>
      </c>
      <c r="J32" s="3">
        <f t="shared" si="4"/>
        <v>6.408965522</v>
      </c>
      <c r="K32" s="3">
        <f t="shared" si="4"/>
        <v>0.4567517748</v>
      </c>
    </row>
    <row r="33" ht="15.75" customHeight="1">
      <c r="A33" s="2" t="s">
        <v>12</v>
      </c>
      <c r="B33" s="3">
        <f t="shared" ref="B33:K33" si="5">STDEV(B2:B31)</f>
        <v>9.254374523</v>
      </c>
      <c r="C33" s="3">
        <f t="shared" si="5"/>
        <v>0.3544756789</v>
      </c>
      <c r="D33" s="3">
        <f t="shared" si="5"/>
        <v>0.5323736697</v>
      </c>
      <c r="E33" s="3">
        <f t="shared" si="5"/>
        <v>0.5252047975</v>
      </c>
      <c r="F33" s="3">
        <f t="shared" si="5"/>
        <v>0.1367979843</v>
      </c>
      <c r="G33" s="3">
        <f t="shared" si="5"/>
        <v>0.3214051405</v>
      </c>
      <c r="H33" s="3">
        <f t="shared" si="5"/>
        <v>0.4424780013</v>
      </c>
      <c r="I33" s="3">
        <f t="shared" si="5"/>
        <v>0.7928781965</v>
      </c>
      <c r="J33" s="3">
        <f t="shared" si="5"/>
        <v>0.6664701374</v>
      </c>
      <c r="K33" s="3">
        <f t="shared" si="5"/>
        <v>0.08859094727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27.87</v>
      </c>
      <c r="C2" s="3">
        <v>2.104</v>
      </c>
      <c r="D2" s="3">
        <v>4.663</v>
      </c>
      <c r="E2" s="3">
        <v>1.901</v>
      </c>
      <c r="F2" s="3">
        <v>0.537</v>
      </c>
      <c r="G2" s="3">
        <v>1.121</v>
      </c>
      <c r="H2" s="3">
        <v>0.715</v>
      </c>
      <c r="I2" s="3">
        <f t="shared" ref="I2:I31" si="1">C2+D2</f>
        <v>6.767</v>
      </c>
      <c r="J2" s="3">
        <f t="shared" ref="J2:J31" si="2">B2/I2</f>
        <v>4.118516329</v>
      </c>
      <c r="K2" s="3">
        <f t="shared" ref="K2:K31" si="3">F2/G2</f>
        <v>0.4790365745</v>
      </c>
    </row>
    <row r="3">
      <c r="A3" s="2">
        <v>2.0</v>
      </c>
      <c r="B3" s="3">
        <v>39.614</v>
      </c>
      <c r="C3" s="3">
        <v>2.997</v>
      </c>
      <c r="D3" s="3">
        <v>5.152</v>
      </c>
      <c r="E3" s="3">
        <v>3.122</v>
      </c>
      <c r="F3" s="3">
        <v>0.866</v>
      </c>
      <c r="G3" s="3">
        <v>1.763</v>
      </c>
      <c r="H3" s="3">
        <v>1.455</v>
      </c>
      <c r="I3" s="3">
        <f t="shared" si="1"/>
        <v>8.149</v>
      </c>
      <c r="J3" s="3">
        <f t="shared" si="2"/>
        <v>4.861209964</v>
      </c>
      <c r="K3" s="3">
        <f t="shared" si="3"/>
        <v>0.4912081679</v>
      </c>
    </row>
    <row r="4">
      <c r="A4" s="2">
        <v>3.0</v>
      </c>
      <c r="B4" s="3">
        <v>39.485</v>
      </c>
      <c r="C4" s="3">
        <v>2.759</v>
      </c>
      <c r="D4" s="3">
        <v>4.498</v>
      </c>
      <c r="E4" s="3">
        <v>2.841</v>
      </c>
      <c r="F4" s="3">
        <v>0.593</v>
      </c>
      <c r="G4" s="3">
        <v>1.549</v>
      </c>
      <c r="H4" s="3">
        <v>1.045</v>
      </c>
      <c r="I4" s="3">
        <f t="shared" si="1"/>
        <v>7.257</v>
      </c>
      <c r="J4" s="3">
        <f t="shared" si="2"/>
        <v>5.440953562</v>
      </c>
      <c r="K4" s="3">
        <f t="shared" si="3"/>
        <v>0.3828276307</v>
      </c>
    </row>
    <row r="5">
      <c r="A5" s="2">
        <v>4.0</v>
      </c>
      <c r="B5" s="3">
        <v>36.825</v>
      </c>
      <c r="C5" s="3">
        <v>1.975</v>
      </c>
      <c r="D5" s="3">
        <v>4.939</v>
      </c>
      <c r="E5" s="3">
        <v>1.951</v>
      </c>
      <c r="F5" s="3">
        <v>0.716</v>
      </c>
      <c r="G5" s="3">
        <v>1.634</v>
      </c>
      <c r="H5" s="3">
        <v>1.098</v>
      </c>
      <c r="I5" s="3">
        <f t="shared" si="1"/>
        <v>6.914</v>
      </c>
      <c r="J5" s="3">
        <f t="shared" si="2"/>
        <v>5.326149841</v>
      </c>
      <c r="K5" s="3">
        <f t="shared" si="3"/>
        <v>0.4381884945</v>
      </c>
    </row>
    <row r="6">
      <c r="A6" s="2">
        <v>5.0</v>
      </c>
      <c r="B6" s="3">
        <v>31.846</v>
      </c>
      <c r="C6" s="3">
        <v>2.712</v>
      </c>
      <c r="D6" s="3">
        <v>4.787</v>
      </c>
      <c r="E6" s="3">
        <v>2.551</v>
      </c>
      <c r="F6" s="3">
        <v>0.651</v>
      </c>
      <c r="G6" s="3">
        <v>1.532</v>
      </c>
      <c r="H6" s="3">
        <v>1.237</v>
      </c>
      <c r="I6" s="3">
        <f t="shared" si="1"/>
        <v>7.499</v>
      </c>
      <c r="J6" s="3">
        <f t="shared" si="2"/>
        <v>4.24669956</v>
      </c>
      <c r="K6" s="3">
        <f t="shared" si="3"/>
        <v>0.4249347258</v>
      </c>
    </row>
    <row r="7">
      <c r="A7" s="2">
        <v>6.0</v>
      </c>
      <c r="B7" s="3">
        <v>31.857</v>
      </c>
      <c r="C7" s="3">
        <v>2.189</v>
      </c>
      <c r="D7" s="3">
        <v>3.756</v>
      </c>
      <c r="E7" s="3">
        <v>1.992</v>
      </c>
      <c r="F7" s="3">
        <v>0.563</v>
      </c>
      <c r="G7" s="3">
        <v>1.588</v>
      </c>
      <c r="H7" s="3">
        <v>0.751</v>
      </c>
      <c r="I7" s="3">
        <f t="shared" si="1"/>
        <v>5.945</v>
      </c>
      <c r="J7" s="3">
        <f t="shared" si="2"/>
        <v>5.35862069</v>
      </c>
      <c r="K7" s="3">
        <f t="shared" si="3"/>
        <v>0.354534005</v>
      </c>
    </row>
    <row r="8">
      <c r="A8" s="2">
        <v>7.0</v>
      </c>
      <c r="B8" s="3">
        <v>32.89</v>
      </c>
      <c r="C8" s="3">
        <v>2.484</v>
      </c>
      <c r="D8" s="3">
        <v>4.254</v>
      </c>
      <c r="E8" s="3">
        <v>1.879</v>
      </c>
      <c r="F8" s="3">
        <v>0.581</v>
      </c>
      <c r="G8" s="3">
        <v>1.418</v>
      </c>
      <c r="H8" s="3">
        <v>1.069</v>
      </c>
      <c r="I8" s="3">
        <f t="shared" si="1"/>
        <v>6.738</v>
      </c>
      <c r="J8" s="3">
        <f t="shared" si="2"/>
        <v>4.881270407</v>
      </c>
      <c r="K8" s="3">
        <f t="shared" si="3"/>
        <v>0.4097320169</v>
      </c>
    </row>
    <row r="9">
      <c r="A9" s="2">
        <v>8.0</v>
      </c>
      <c r="B9" s="3">
        <v>28.099</v>
      </c>
      <c r="C9" s="3">
        <v>2.093</v>
      </c>
      <c r="D9" s="3">
        <v>4.156</v>
      </c>
      <c r="E9" s="3">
        <v>2.12</v>
      </c>
      <c r="F9" s="3">
        <v>0.587</v>
      </c>
      <c r="G9" s="3">
        <v>1.435</v>
      </c>
      <c r="H9" s="3">
        <v>0.829</v>
      </c>
      <c r="I9" s="3">
        <f t="shared" si="1"/>
        <v>6.249</v>
      </c>
      <c r="J9" s="3">
        <f t="shared" si="2"/>
        <v>4.49655945</v>
      </c>
      <c r="K9" s="3">
        <f t="shared" si="3"/>
        <v>0.4090592334</v>
      </c>
    </row>
    <row r="10">
      <c r="A10" s="2">
        <v>9.0</v>
      </c>
      <c r="B10" s="3">
        <v>36.164</v>
      </c>
      <c r="C10" s="3">
        <v>2.41</v>
      </c>
      <c r="D10" s="3">
        <v>4.967</v>
      </c>
      <c r="E10" s="3">
        <v>2.853</v>
      </c>
      <c r="F10" s="3">
        <v>0.528</v>
      </c>
      <c r="G10" s="3">
        <v>1.431</v>
      </c>
      <c r="H10" s="3">
        <v>1.31</v>
      </c>
      <c r="I10" s="3">
        <f t="shared" si="1"/>
        <v>7.377</v>
      </c>
      <c r="J10" s="3">
        <f t="shared" si="2"/>
        <v>4.902263793</v>
      </c>
      <c r="K10" s="3">
        <f t="shared" si="3"/>
        <v>0.3689727463</v>
      </c>
    </row>
    <row r="11">
      <c r="A11" s="2">
        <v>10.0</v>
      </c>
      <c r="B11" s="3">
        <v>20.184</v>
      </c>
      <c r="C11" s="3">
        <v>1.772</v>
      </c>
      <c r="D11" s="3">
        <v>3.338</v>
      </c>
      <c r="E11" s="3">
        <v>1.892</v>
      </c>
      <c r="F11" s="3">
        <v>0.44</v>
      </c>
      <c r="G11" s="3">
        <v>1.188</v>
      </c>
      <c r="H11" s="3">
        <v>0.597</v>
      </c>
      <c r="I11" s="3">
        <f t="shared" si="1"/>
        <v>5.11</v>
      </c>
      <c r="J11" s="3">
        <f t="shared" si="2"/>
        <v>3.949902153</v>
      </c>
      <c r="K11" s="3">
        <f t="shared" si="3"/>
        <v>0.3703703704</v>
      </c>
    </row>
    <row r="12">
      <c r="A12" s="2">
        <v>11.0</v>
      </c>
      <c r="B12" s="3">
        <v>30.518</v>
      </c>
      <c r="C12" s="3">
        <v>2.553</v>
      </c>
      <c r="D12" s="3">
        <v>4.757</v>
      </c>
      <c r="E12" s="3">
        <v>2.636</v>
      </c>
      <c r="F12" s="3">
        <v>0.745</v>
      </c>
      <c r="G12" s="3">
        <v>1.519</v>
      </c>
      <c r="H12" s="3">
        <v>0.991</v>
      </c>
      <c r="I12" s="3">
        <f t="shared" si="1"/>
        <v>7.31</v>
      </c>
      <c r="J12" s="3">
        <f t="shared" si="2"/>
        <v>4.174829001</v>
      </c>
      <c r="K12" s="3">
        <f t="shared" si="3"/>
        <v>0.4904542462</v>
      </c>
    </row>
    <row r="13">
      <c r="A13" s="2">
        <v>12.0</v>
      </c>
      <c r="B13" s="3">
        <v>36.752</v>
      </c>
      <c r="C13" s="3">
        <v>2.578</v>
      </c>
      <c r="D13" s="3">
        <v>4.776</v>
      </c>
      <c r="E13" s="3">
        <v>2.318</v>
      </c>
      <c r="F13" s="3">
        <v>0.542</v>
      </c>
      <c r="G13" s="3">
        <v>1.479</v>
      </c>
      <c r="H13" s="3">
        <v>0.936</v>
      </c>
      <c r="I13" s="3">
        <f t="shared" si="1"/>
        <v>7.354</v>
      </c>
      <c r="J13" s="3">
        <f t="shared" si="2"/>
        <v>4.997552352</v>
      </c>
      <c r="K13" s="3">
        <f t="shared" si="3"/>
        <v>0.3664638269</v>
      </c>
    </row>
    <row r="14">
      <c r="A14" s="2">
        <v>13.0</v>
      </c>
      <c r="B14" s="3">
        <v>42.287</v>
      </c>
      <c r="C14" s="3">
        <v>2.688</v>
      </c>
      <c r="D14" s="3">
        <v>5.144</v>
      </c>
      <c r="E14" s="3">
        <v>2.674</v>
      </c>
      <c r="F14" s="3">
        <v>0.596</v>
      </c>
      <c r="G14" s="3">
        <v>1.553</v>
      </c>
      <c r="H14" s="3">
        <v>0.874</v>
      </c>
      <c r="I14" s="3">
        <f t="shared" si="1"/>
        <v>7.832</v>
      </c>
      <c r="J14" s="3">
        <f t="shared" si="2"/>
        <v>5.399259448</v>
      </c>
      <c r="K14" s="3">
        <f t="shared" si="3"/>
        <v>0.3837733419</v>
      </c>
    </row>
    <row r="15">
      <c r="A15" s="2">
        <v>14.0</v>
      </c>
      <c r="B15" s="3">
        <v>31.924</v>
      </c>
      <c r="C15" s="3">
        <v>2.388</v>
      </c>
      <c r="D15" s="3">
        <v>4.396</v>
      </c>
      <c r="E15" s="3">
        <v>1.689</v>
      </c>
      <c r="F15" s="3">
        <v>0.601</v>
      </c>
      <c r="G15" s="3">
        <v>1.513</v>
      </c>
      <c r="H15" s="3">
        <v>0.829</v>
      </c>
      <c r="I15" s="3">
        <f t="shared" si="1"/>
        <v>6.784</v>
      </c>
      <c r="J15" s="3">
        <f t="shared" si="2"/>
        <v>4.705778302</v>
      </c>
      <c r="K15" s="3">
        <f t="shared" si="3"/>
        <v>0.3972240582</v>
      </c>
    </row>
    <row r="16">
      <c r="A16" s="2">
        <v>15.0</v>
      </c>
      <c r="B16" s="3">
        <v>41.293</v>
      </c>
      <c r="C16" s="3">
        <v>2.775</v>
      </c>
      <c r="D16" s="3">
        <v>4.839</v>
      </c>
      <c r="E16" s="3">
        <v>2.267</v>
      </c>
      <c r="F16" s="3">
        <v>0.642</v>
      </c>
      <c r="G16" s="3">
        <v>1.556</v>
      </c>
      <c r="H16" s="3">
        <v>1.137</v>
      </c>
      <c r="I16" s="3">
        <f t="shared" si="1"/>
        <v>7.614</v>
      </c>
      <c r="J16" s="3">
        <f t="shared" si="2"/>
        <v>5.423299186</v>
      </c>
      <c r="K16" s="3">
        <f t="shared" si="3"/>
        <v>0.412596401</v>
      </c>
    </row>
    <row r="17">
      <c r="A17" s="2">
        <v>16.0</v>
      </c>
      <c r="B17" s="3">
        <v>48.677</v>
      </c>
      <c r="C17" s="3">
        <v>2.847</v>
      </c>
      <c r="D17" s="3">
        <v>5.624</v>
      </c>
      <c r="E17" s="3">
        <v>2.711</v>
      </c>
      <c r="F17" s="3">
        <v>0.746</v>
      </c>
      <c r="G17" s="3">
        <v>1.685</v>
      </c>
      <c r="H17" s="3">
        <v>1.272</v>
      </c>
      <c r="I17" s="3">
        <f t="shared" si="1"/>
        <v>8.471</v>
      </c>
      <c r="J17" s="3">
        <f t="shared" si="2"/>
        <v>5.746310943</v>
      </c>
      <c r="K17" s="3">
        <f t="shared" si="3"/>
        <v>0.4427299703</v>
      </c>
    </row>
    <row r="18">
      <c r="A18" s="2">
        <v>17.0</v>
      </c>
      <c r="B18" s="3">
        <v>31.922</v>
      </c>
      <c r="C18" s="3">
        <v>2.255</v>
      </c>
      <c r="D18" s="3">
        <v>5.199</v>
      </c>
      <c r="E18" s="3">
        <v>2.54</v>
      </c>
      <c r="F18" s="3">
        <v>0.699</v>
      </c>
      <c r="G18" s="3">
        <v>1.71</v>
      </c>
      <c r="H18" s="3">
        <v>1.699</v>
      </c>
      <c r="I18" s="3">
        <f t="shared" si="1"/>
        <v>7.454</v>
      </c>
      <c r="J18" s="3">
        <f t="shared" si="2"/>
        <v>4.282532868</v>
      </c>
      <c r="K18" s="3">
        <f t="shared" si="3"/>
        <v>0.4087719298</v>
      </c>
    </row>
    <row r="19">
      <c r="A19" s="2">
        <v>18.0</v>
      </c>
      <c r="B19" s="3">
        <v>41.905</v>
      </c>
      <c r="C19" s="3">
        <v>2.597</v>
      </c>
      <c r="D19" s="3">
        <v>4.899</v>
      </c>
      <c r="E19" s="3">
        <v>2.457</v>
      </c>
      <c r="F19" s="3">
        <v>0.584</v>
      </c>
      <c r="G19" s="3">
        <v>1.696</v>
      </c>
      <c r="H19" s="3">
        <v>1.119</v>
      </c>
      <c r="I19" s="3">
        <f t="shared" si="1"/>
        <v>7.496</v>
      </c>
      <c r="J19" s="3">
        <f t="shared" si="2"/>
        <v>5.590314835</v>
      </c>
      <c r="K19" s="3">
        <f t="shared" si="3"/>
        <v>0.3443396226</v>
      </c>
    </row>
    <row r="20">
      <c r="A20" s="2">
        <v>19.0</v>
      </c>
      <c r="B20" s="3">
        <v>27.547</v>
      </c>
      <c r="C20" s="3">
        <v>2.135</v>
      </c>
      <c r="D20" s="3">
        <v>4.292</v>
      </c>
      <c r="E20" s="3">
        <v>1.903</v>
      </c>
      <c r="F20" s="3">
        <v>0.358</v>
      </c>
      <c r="G20" s="3">
        <v>1.425</v>
      </c>
      <c r="H20" s="3">
        <v>0.585</v>
      </c>
      <c r="I20" s="3">
        <f t="shared" si="1"/>
        <v>6.427</v>
      </c>
      <c r="J20" s="3">
        <f t="shared" si="2"/>
        <v>4.286136611</v>
      </c>
      <c r="K20" s="3">
        <f t="shared" si="3"/>
        <v>0.2512280702</v>
      </c>
    </row>
    <row r="21" ht="15.75" customHeight="1">
      <c r="A21" s="2">
        <v>20.0</v>
      </c>
      <c r="B21" s="3">
        <v>34.63</v>
      </c>
      <c r="C21" s="3">
        <v>2.397</v>
      </c>
      <c r="D21" s="3">
        <v>4.528</v>
      </c>
      <c r="E21" s="3">
        <v>2.321</v>
      </c>
      <c r="F21" s="3">
        <v>0.4</v>
      </c>
      <c r="G21" s="3">
        <v>1.159</v>
      </c>
      <c r="H21" s="3">
        <v>0.599</v>
      </c>
      <c r="I21" s="3">
        <f t="shared" si="1"/>
        <v>6.925</v>
      </c>
      <c r="J21" s="3">
        <f t="shared" si="2"/>
        <v>5.000722022</v>
      </c>
      <c r="K21" s="3">
        <f t="shared" si="3"/>
        <v>0.3451251079</v>
      </c>
    </row>
    <row r="22" ht="15.75" customHeight="1">
      <c r="A22" s="2">
        <v>21.0</v>
      </c>
      <c r="B22" s="3">
        <v>38.404</v>
      </c>
      <c r="C22" s="3">
        <v>2.175</v>
      </c>
      <c r="D22" s="3">
        <v>4.715</v>
      </c>
      <c r="E22" s="3">
        <v>2.087</v>
      </c>
      <c r="F22" s="3">
        <v>0.505</v>
      </c>
      <c r="G22" s="3">
        <v>1.313</v>
      </c>
      <c r="H22" s="3">
        <v>0.977</v>
      </c>
      <c r="I22" s="3">
        <f t="shared" si="1"/>
        <v>6.89</v>
      </c>
      <c r="J22" s="3">
        <f t="shared" si="2"/>
        <v>5.573875181</v>
      </c>
      <c r="K22" s="3">
        <f t="shared" si="3"/>
        <v>0.3846153846</v>
      </c>
    </row>
    <row r="23" ht="15.75" customHeight="1">
      <c r="A23" s="2">
        <v>22.0</v>
      </c>
      <c r="B23" s="3">
        <v>42.835</v>
      </c>
      <c r="C23" s="3">
        <v>3.149</v>
      </c>
      <c r="D23" s="3">
        <v>4.982</v>
      </c>
      <c r="E23" s="3">
        <v>2.163</v>
      </c>
      <c r="F23" s="3">
        <v>0.582</v>
      </c>
      <c r="G23" s="3">
        <v>1.797</v>
      </c>
      <c r="H23" s="3">
        <v>1.234</v>
      </c>
      <c r="I23" s="3">
        <f t="shared" si="1"/>
        <v>8.131</v>
      </c>
      <c r="J23" s="3">
        <f t="shared" si="2"/>
        <v>5.268109704</v>
      </c>
      <c r="K23" s="3">
        <f t="shared" si="3"/>
        <v>0.3238731219</v>
      </c>
    </row>
    <row r="24" ht="15.75" customHeight="1">
      <c r="A24" s="2">
        <v>23.0</v>
      </c>
      <c r="B24" s="3">
        <v>39.74</v>
      </c>
      <c r="C24" s="3">
        <v>2.472</v>
      </c>
      <c r="D24" s="3">
        <v>4.86</v>
      </c>
      <c r="E24" s="3">
        <v>2.435</v>
      </c>
      <c r="F24" s="3">
        <v>0.671</v>
      </c>
      <c r="G24" s="3">
        <v>1.559</v>
      </c>
      <c r="H24" s="3">
        <v>1.502</v>
      </c>
      <c r="I24" s="3">
        <f t="shared" si="1"/>
        <v>7.332</v>
      </c>
      <c r="J24" s="3">
        <f t="shared" si="2"/>
        <v>5.420076378</v>
      </c>
      <c r="K24" s="3">
        <f t="shared" si="3"/>
        <v>0.4304041052</v>
      </c>
    </row>
    <row r="25" ht="15.75" customHeight="1">
      <c r="A25" s="2">
        <v>24.0</v>
      </c>
      <c r="B25" s="3">
        <v>38.341</v>
      </c>
      <c r="C25" s="3">
        <v>2.22</v>
      </c>
      <c r="D25" s="3">
        <v>4.962</v>
      </c>
      <c r="E25" s="3">
        <v>2.601</v>
      </c>
      <c r="F25" s="3">
        <v>0.645</v>
      </c>
      <c r="G25" s="3">
        <v>1.437</v>
      </c>
      <c r="H25" s="3">
        <v>1.048</v>
      </c>
      <c r="I25" s="3">
        <f t="shared" si="1"/>
        <v>7.182</v>
      </c>
      <c r="J25" s="3">
        <f t="shared" si="2"/>
        <v>5.338485102</v>
      </c>
      <c r="K25" s="3">
        <f t="shared" si="3"/>
        <v>0.4488517745</v>
      </c>
    </row>
    <row r="26" ht="15.75" customHeight="1">
      <c r="A26" s="2">
        <v>25.0</v>
      </c>
      <c r="B26" s="3">
        <v>40.488</v>
      </c>
      <c r="C26" s="3">
        <v>2.78</v>
      </c>
      <c r="D26" s="3">
        <v>5.189</v>
      </c>
      <c r="E26" s="3">
        <v>2.356</v>
      </c>
      <c r="F26" s="3">
        <v>0.596</v>
      </c>
      <c r="G26" s="3">
        <v>1.462</v>
      </c>
      <c r="H26" s="3">
        <v>1.102</v>
      </c>
      <c r="I26" s="3">
        <f t="shared" si="1"/>
        <v>7.969</v>
      </c>
      <c r="J26" s="3">
        <f t="shared" si="2"/>
        <v>5.080687665</v>
      </c>
      <c r="K26" s="3">
        <f t="shared" si="3"/>
        <v>0.4076607387</v>
      </c>
    </row>
    <row r="27" ht="15.75" customHeight="1">
      <c r="A27" s="2">
        <v>26.0</v>
      </c>
      <c r="B27" s="3">
        <v>21.71</v>
      </c>
      <c r="C27" s="3">
        <v>1.834</v>
      </c>
      <c r="D27" s="3">
        <v>3.995</v>
      </c>
      <c r="E27" s="3">
        <v>1.854</v>
      </c>
      <c r="F27" s="3">
        <v>0.487</v>
      </c>
      <c r="G27" s="3">
        <v>1.057</v>
      </c>
      <c r="H27" s="3">
        <v>0.515</v>
      </c>
      <c r="I27" s="3">
        <f t="shared" si="1"/>
        <v>5.829</v>
      </c>
      <c r="J27" s="3">
        <f t="shared" si="2"/>
        <v>3.724481043</v>
      </c>
      <c r="K27" s="3">
        <f t="shared" si="3"/>
        <v>0.4607379376</v>
      </c>
    </row>
    <row r="28" ht="15.75" customHeight="1">
      <c r="A28" s="2">
        <v>27.0</v>
      </c>
      <c r="B28" s="3">
        <v>19.36</v>
      </c>
      <c r="C28" s="3">
        <v>2.151</v>
      </c>
      <c r="D28" s="3">
        <v>3.683</v>
      </c>
      <c r="E28" s="3">
        <v>2.0</v>
      </c>
      <c r="F28" s="3">
        <v>0.789</v>
      </c>
      <c r="G28" s="3">
        <v>0.974</v>
      </c>
      <c r="H28" s="3">
        <v>0.59</v>
      </c>
      <c r="I28" s="3">
        <f t="shared" si="1"/>
        <v>5.834</v>
      </c>
      <c r="J28" s="3">
        <f t="shared" si="2"/>
        <v>3.318477888</v>
      </c>
      <c r="K28" s="3">
        <f t="shared" si="3"/>
        <v>0.8100616016</v>
      </c>
    </row>
    <row r="29" ht="15.75" customHeight="1">
      <c r="A29" s="2">
        <v>28.0</v>
      </c>
      <c r="B29" s="3">
        <v>36.259</v>
      </c>
      <c r="C29" s="3">
        <v>2.681</v>
      </c>
      <c r="D29" s="3">
        <v>4.741</v>
      </c>
      <c r="E29" s="3">
        <v>2.294</v>
      </c>
      <c r="F29" s="3">
        <v>0.766</v>
      </c>
      <c r="G29" s="3">
        <v>1.48</v>
      </c>
      <c r="H29" s="3">
        <v>1.072</v>
      </c>
      <c r="I29" s="3">
        <f t="shared" si="1"/>
        <v>7.422</v>
      </c>
      <c r="J29" s="3">
        <f t="shared" si="2"/>
        <v>4.885340878</v>
      </c>
      <c r="K29" s="3">
        <f t="shared" si="3"/>
        <v>0.5175675676</v>
      </c>
    </row>
    <row r="30" ht="15.75" customHeight="1">
      <c r="A30" s="2">
        <v>29.0</v>
      </c>
      <c r="B30" s="3">
        <v>35.102</v>
      </c>
      <c r="C30" s="3">
        <v>2.277</v>
      </c>
      <c r="D30" s="3">
        <v>5.01</v>
      </c>
      <c r="E30" s="3">
        <v>2.25</v>
      </c>
      <c r="F30" s="3">
        <v>0.651</v>
      </c>
      <c r="G30" s="3">
        <v>1.436</v>
      </c>
      <c r="H30" s="3">
        <v>0.962</v>
      </c>
      <c r="I30" s="3">
        <f t="shared" si="1"/>
        <v>7.287</v>
      </c>
      <c r="J30" s="3">
        <f t="shared" si="2"/>
        <v>4.817071497</v>
      </c>
      <c r="K30" s="3">
        <f t="shared" si="3"/>
        <v>0.4533426184</v>
      </c>
    </row>
    <row r="31" ht="15.75" customHeight="1">
      <c r="A31" s="2">
        <v>30.0</v>
      </c>
      <c r="B31" s="3">
        <v>32.242</v>
      </c>
      <c r="C31" s="3">
        <v>2.15</v>
      </c>
      <c r="D31" s="3">
        <v>4.382</v>
      </c>
      <c r="E31" s="3">
        <v>2.128</v>
      </c>
      <c r="F31" s="3">
        <v>0.506</v>
      </c>
      <c r="G31" s="3">
        <v>1.328</v>
      </c>
      <c r="H31" s="3">
        <v>0.716</v>
      </c>
      <c r="I31" s="3">
        <f t="shared" si="1"/>
        <v>6.532</v>
      </c>
      <c r="J31" s="3">
        <f t="shared" si="2"/>
        <v>4.936007348</v>
      </c>
      <c r="K31" s="3">
        <f t="shared" si="3"/>
        <v>0.3810240964</v>
      </c>
    </row>
    <row r="32" ht="15.75" customHeight="1">
      <c r="A32" s="2" t="s">
        <v>13</v>
      </c>
      <c r="B32" s="3">
        <f t="shared" ref="B32:K32" si="4">AVERAGE(B2:B31)</f>
        <v>34.559</v>
      </c>
      <c r="C32" s="3">
        <f t="shared" si="4"/>
        <v>2.4199</v>
      </c>
      <c r="D32" s="3">
        <f t="shared" si="4"/>
        <v>4.649433333</v>
      </c>
      <c r="E32" s="3">
        <f t="shared" si="4"/>
        <v>2.292866667</v>
      </c>
      <c r="F32" s="3">
        <f t="shared" si="4"/>
        <v>0.6057666667</v>
      </c>
      <c r="G32" s="3">
        <f t="shared" si="4"/>
        <v>1.4599</v>
      </c>
      <c r="H32" s="3">
        <f t="shared" si="4"/>
        <v>0.9955</v>
      </c>
      <c r="I32" s="3">
        <f t="shared" si="4"/>
        <v>7.069333333</v>
      </c>
      <c r="J32" s="3">
        <f t="shared" si="4"/>
        <v>4.851716467</v>
      </c>
      <c r="K32" s="3">
        <f t="shared" si="4"/>
        <v>0.4196569829</v>
      </c>
    </row>
    <row r="33" ht="15.75" customHeight="1">
      <c r="A33" s="2" t="s">
        <v>14</v>
      </c>
      <c r="B33" s="3">
        <f t="shared" ref="B33:K33" si="5">STDEV(B2:B31)</f>
        <v>6.885481272</v>
      </c>
      <c r="C33" s="3">
        <f t="shared" si="5"/>
        <v>0.3383807639</v>
      </c>
      <c r="D33" s="3">
        <f t="shared" si="5"/>
        <v>0.5033143724</v>
      </c>
      <c r="E33" s="3">
        <f t="shared" si="5"/>
        <v>0.3533817642</v>
      </c>
      <c r="F33" s="3">
        <f t="shared" si="5"/>
        <v>0.1148518336</v>
      </c>
      <c r="G33" s="3">
        <f t="shared" si="5"/>
        <v>0.2026878609</v>
      </c>
      <c r="H33" s="3">
        <f t="shared" si="5"/>
        <v>0.2935157577</v>
      </c>
      <c r="I33" s="3">
        <f t="shared" si="5"/>
        <v>0.7630177082</v>
      </c>
      <c r="J33" s="3">
        <f t="shared" si="5"/>
        <v>0.6089318311</v>
      </c>
      <c r="K33" s="3">
        <f t="shared" si="5"/>
        <v>0.09239788861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125.389</v>
      </c>
      <c r="C2" s="3">
        <v>5.514</v>
      </c>
      <c r="D2" s="3">
        <v>9.001</v>
      </c>
      <c r="E2" s="3">
        <v>4.51</v>
      </c>
      <c r="F2" s="3">
        <v>1.051</v>
      </c>
      <c r="G2" s="3">
        <v>3.482</v>
      </c>
      <c r="H2" s="3">
        <v>4.241</v>
      </c>
      <c r="I2" s="3">
        <f t="shared" ref="I2:I31" si="1">C2+D2</f>
        <v>14.515</v>
      </c>
      <c r="J2" s="3">
        <f t="shared" ref="J2:J31" si="2">B2/I2</f>
        <v>8.638580779</v>
      </c>
      <c r="K2" s="3">
        <f t="shared" ref="K2:K31" si="3">F2/G2</f>
        <v>0.3018380241</v>
      </c>
    </row>
    <row r="3">
      <c r="A3" s="2">
        <v>2.0</v>
      </c>
      <c r="B3" s="3">
        <v>141.548</v>
      </c>
      <c r="C3" s="3">
        <v>5.128</v>
      </c>
      <c r="D3" s="3">
        <v>9.352</v>
      </c>
      <c r="E3" s="3">
        <v>5.969</v>
      </c>
      <c r="F3" s="3">
        <v>1.597</v>
      </c>
      <c r="G3" s="3">
        <v>3.239</v>
      </c>
      <c r="H3" s="3">
        <v>5.138</v>
      </c>
      <c r="I3" s="3">
        <f t="shared" si="1"/>
        <v>14.48</v>
      </c>
      <c r="J3" s="3">
        <f t="shared" si="2"/>
        <v>9.775414365</v>
      </c>
      <c r="K3" s="3">
        <f t="shared" si="3"/>
        <v>0.4930534115</v>
      </c>
    </row>
    <row r="4">
      <c r="A4" s="2">
        <v>3.0</v>
      </c>
      <c r="B4" s="3">
        <v>139.758</v>
      </c>
      <c r="C4" s="3">
        <v>5.6</v>
      </c>
      <c r="D4" s="3">
        <v>9.68</v>
      </c>
      <c r="E4" s="3">
        <v>5.064</v>
      </c>
      <c r="F4" s="3">
        <v>1.316</v>
      </c>
      <c r="G4" s="3">
        <v>3.565</v>
      </c>
      <c r="H4" s="3">
        <v>4.66</v>
      </c>
      <c r="I4" s="3">
        <f t="shared" si="1"/>
        <v>15.28</v>
      </c>
      <c r="J4" s="3">
        <f t="shared" si="2"/>
        <v>9.146465969</v>
      </c>
      <c r="K4" s="3">
        <f t="shared" si="3"/>
        <v>0.36914446</v>
      </c>
    </row>
    <row r="5">
      <c r="A5" s="2">
        <v>4.0</v>
      </c>
      <c r="B5" s="3">
        <v>142.906</v>
      </c>
      <c r="C5" s="3">
        <v>5.197</v>
      </c>
      <c r="D5" s="3">
        <v>8.584</v>
      </c>
      <c r="E5" s="3">
        <v>5.176</v>
      </c>
      <c r="F5" s="3">
        <v>1.286</v>
      </c>
      <c r="G5" s="3">
        <v>2.838</v>
      </c>
      <c r="H5" s="3">
        <v>4.521</v>
      </c>
      <c r="I5" s="3">
        <f t="shared" si="1"/>
        <v>13.781</v>
      </c>
      <c r="J5" s="3">
        <f t="shared" si="2"/>
        <v>10.36978449</v>
      </c>
      <c r="K5" s="3">
        <f t="shared" si="3"/>
        <v>0.4531360113</v>
      </c>
    </row>
    <row r="6">
      <c r="A6" s="2">
        <v>5.0</v>
      </c>
      <c r="B6" s="3">
        <v>145.59</v>
      </c>
      <c r="C6" s="3">
        <v>5.225</v>
      </c>
      <c r="D6" s="3">
        <v>10.562</v>
      </c>
      <c r="E6" s="3">
        <v>5.21</v>
      </c>
      <c r="F6" s="3">
        <v>1.554</v>
      </c>
      <c r="G6" s="3">
        <v>2.878</v>
      </c>
      <c r="H6" s="3">
        <v>4.378</v>
      </c>
      <c r="I6" s="3">
        <f t="shared" si="1"/>
        <v>15.787</v>
      </c>
      <c r="J6" s="3">
        <f t="shared" si="2"/>
        <v>9.222144803</v>
      </c>
      <c r="K6" s="3">
        <f t="shared" si="3"/>
        <v>0.5399583044</v>
      </c>
    </row>
    <row r="7">
      <c r="A7" s="2">
        <v>6.0</v>
      </c>
      <c r="B7" s="3">
        <v>155.494</v>
      </c>
      <c r="C7" s="3">
        <v>4.458</v>
      </c>
      <c r="D7" s="3">
        <v>9.129</v>
      </c>
      <c r="E7" s="3">
        <v>5.586</v>
      </c>
      <c r="F7" s="3">
        <v>1.378</v>
      </c>
      <c r="G7" s="3">
        <v>3.105</v>
      </c>
      <c r="H7" s="3">
        <v>4.586</v>
      </c>
      <c r="I7" s="3">
        <f t="shared" si="1"/>
        <v>13.587</v>
      </c>
      <c r="J7" s="3">
        <f t="shared" si="2"/>
        <v>11.44432178</v>
      </c>
      <c r="K7" s="3">
        <f t="shared" si="3"/>
        <v>0.4438003221</v>
      </c>
    </row>
    <row r="8">
      <c r="A8" s="2">
        <v>7.0</v>
      </c>
      <c r="B8" s="3">
        <v>120.968</v>
      </c>
      <c r="C8" s="3">
        <v>4.764</v>
      </c>
      <c r="D8" s="3">
        <v>7.992</v>
      </c>
      <c r="E8" s="3">
        <v>4.691</v>
      </c>
      <c r="F8" s="3">
        <v>1.169</v>
      </c>
      <c r="G8" s="3">
        <v>2.67</v>
      </c>
      <c r="H8" s="3">
        <v>3.972</v>
      </c>
      <c r="I8" s="3">
        <f t="shared" si="1"/>
        <v>12.756</v>
      </c>
      <c r="J8" s="3">
        <f t="shared" si="2"/>
        <v>9.483223581</v>
      </c>
      <c r="K8" s="3">
        <f t="shared" si="3"/>
        <v>0.4378277154</v>
      </c>
    </row>
    <row r="9">
      <c r="A9" s="2">
        <v>8.0</v>
      </c>
      <c r="B9" s="3">
        <v>149.076</v>
      </c>
      <c r="C9" s="3">
        <v>5.246</v>
      </c>
      <c r="D9" s="3">
        <v>8.368</v>
      </c>
      <c r="E9" s="3">
        <v>4.713</v>
      </c>
      <c r="F9" s="3">
        <v>1.094</v>
      </c>
      <c r="G9" s="3">
        <v>2.873</v>
      </c>
      <c r="H9" s="3">
        <v>4.661</v>
      </c>
      <c r="I9" s="3">
        <f t="shared" si="1"/>
        <v>13.614</v>
      </c>
      <c r="J9" s="3">
        <f t="shared" si="2"/>
        <v>10.95019833</v>
      </c>
      <c r="K9" s="3">
        <f t="shared" si="3"/>
        <v>0.3807866342</v>
      </c>
    </row>
    <row r="10">
      <c r="A10" s="2">
        <v>9.0</v>
      </c>
      <c r="B10" s="3">
        <v>154.78</v>
      </c>
      <c r="C10" s="3">
        <v>4.517</v>
      </c>
      <c r="D10" s="3">
        <v>9.879</v>
      </c>
      <c r="E10" s="3">
        <v>6.076</v>
      </c>
      <c r="F10" s="3">
        <v>1.4</v>
      </c>
      <c r="G10" s="3">
        <v>2.931</v>
      </c>
      <c r="H10" s="3">
        <v>4.205</v>
      </c>
      <c r="I10" s="3">
        <f t="shared" si="1"/>
        <v>14.396</v>
      </c>
      <c r="J10" s="3">
        <f t="shared" si="2"/>
        <v>10.75159767</v>
      </c>
      <c r="K10" s="3">
        <f t="shared" si="3"/>
        <v>0.4776526783</v>
      </c>
    </row>
    <row r="11">
      <c r="A11" s="2">
        <v>10.0</v>
      </c>
      <c r="B11" s="3">
        <v>127.816</v>
      </c>
      <c r="C11" s="3">
        <v>4.924</v>
      </c>
      <c r="D11" s="3">
        <v>9.393</v>
      </c>
      <c r="E11" s="3">
        <v>5.19</v>
      </c>
      <c r="F11" s="3">
        <v>1.377</v>
      </c>
      <c r="G11" s="3">
        <v>2.894</v>
      </c>
      <c r="H11" s="3">
        <v>4.491</v>
      </c>
      <c r="I11" s="3">
        <f t="shared" si="1"/>
        <v>14.317</v>
      </c>
      <c r="J11" s="3">
        <f t="shared" si="2"/>
        <v>8.927568625</v>
      </c>
      <c r="K11" s="3">
        <f t="shared" si="3"/>
        <v>0.4758120249</v>
      </c>
    </row>
    <row r="12">
      <c r="A12" s="2">
        <v>11.0</v>
      </c>
      <c r="B12" s="3">
        <v>116.814</v>
      </c>
      <c r="C12" s="3">
        <v>5.003</v>
      </c>
      <c r="D12" s="3">
        <v>7.985</v>
      </c>
      <c r="E12" s="3">
        <v>5.981</v>
      </c>
      <c r="F12" s="3">
        <v>1.076</v>
      </c>
      <c r="G12" s="3">
        <v>2.92</v>
      </c>
      <c r="H12" s="3">
        <v>4.011</v>
      </c>
      <c r="I12" s="3">
        <f t="shared" si="1"/>
        <v>12.988</v>
      </c>
      <c r="J12" s="3">
        <f t="shared" si="2"/>
        <v>8.993994456</v>
      </c>
      <c r="K12" s="3">
        <f t="shared" si="3"/>
        <v>0.3684931507</v>
      </c>
    </row>
    <row r="13">
      <c r="A13" s="2">
        <v>12.0</v>
      </c>
      <c r="B13" s="3">
        <v>134.274</v>
      </c>
      <c r="C13" s="3">
        <v>5.416</v>
      </c>
      <c r="D13" s="3">
        <v>9.166</v>
      </c>
      <c r="E13" s="3">
        <v>5.307</v>
      </c>
      <c r="F13" s="3">
        <v>1.344</v>
      </c>
      <c r="G13" s="3">
        <v>3.058</v>
      </c>
      <c r="H13" s="3">
        <v>5.007</v>
      </c>
      <c r="I13" s="3">
        <f t="shared" si="1"/>
        <v>14.582</v>
      </c>
      <c r="J13" s="3">
        <f t="shared" si="2"/>
        <v>9.208201893</v>
      </c>
      <c r="K13" s="3">
        <f t="shared" si="3"/>
        <v>0.4395029431</v>
      </c>
    </row>
    <row r="14">
      <c r="A14" s="2">
        <v>13.0</v>
      </c>
      <c r="B14" s="3">
        <v>125.905</v>
      </c>
      <c r="C14" s="3">
        <v>5.083</v>
      </c>
      <c r="D14" s="3">
        <v>8.375</v>
      </c>
      <c r="E14" s="3">
        <v>5.531</v>
      </c>
      <c r="F14" s="3">
        <v>1.303</v>
      </c>
      <c r="G14" s="3">
        <v>2.89</v>
      </c>
      <c r="H14" s="3">
        <v>3.331</v>
      </c>
      <c r="I14" s="3">
        <f t="shared" si="1"/>
        <v>13.458</v>
      </c>
      <c r="J14" s="3">
        <f t="shared" si="2"/>
        <v>9.355401991</v>
      </c>
      <c r="K14" s="3">
        <f t="shared" si="3"/>
        <v>0.4508650519</v>
      </c>
    </row>
    <row r="15">
      <c r="A15" s="2">
        <v>14.0</v>
      </c>
      <c r="B15" s="3">
        <v>155.887</v>
      </c>
      <c r="C15" s="3">
        <v>5.781</v>
      </c>
      <c r="D15" s="3">
        <v>9.436</v>
      </c>
      <c r="E15" s="3">
        <v>5.27</v>
      </c>
      <c r="F15" s="3">
        <v>1.319</v>
      </c>
      <c r="G15" s="3">
        <v>3.209</v>
      </c>
      <c r="H15" s="3">
        <v>5.435</v>
      </c>
      <c r="I15" s="3">
        <f t="shared" si="1"/>
        <v>15.217</v>
      </c>
      <c r="J15" s="3">
        <f t="shared" si="2"/>
        <v>10.24426628</v>
      </c>
      <c r="K15" s="3">
        <f t="shared" si="3"/>
        <v>0.411031474</v>
      </c>
    </row>
    <row r="16">
      <c r="A16" s="2">
        <v>15.0</v>
      </c>
      <c r="B16" s="3">
        <v>143.471</v>
      </c>
      <c r="C16" s="3">
        <v>5.565</v>
      </c>
      <c r="D16" s="3">
        <v>8.545</v>
      </c>
      <c r="E16" s="3">
        <v>5.534</v>
      </c>
      <c r="F16" s="3">
        <v>1.377</v>
      </c>
      <c r="G16" s="3">
        <v>3.3</v>
      </c>
      <c r="H16" s="3">
        <v>4.14</v>
      </c>
      <c r="I16" s="3">
        <f t="shared" si="1"/>
        <v>14.11</v>
      </c>
      <c r="J16" s="3">
        <f t="shared" si="2"/>
        <v>10.16803685</v>
      </c>
      <c r="K16" s="3">
        <f t="shared" si="3"/>
        <v>0.4172727273</v>
      </c>
    </row>
    <row r="17">
      <c r="A17" s="2">
        <v>16.0</v>
      </c>
      <c r="B17" s="3">
        <v>149.609</v>
      </c>
      <c r="C17" s="3">
        <v>5.422</v>
      </c>
      <c r="D17" s="3">
        <v>10.28</v>
      </c>
      <c r="E17" s="3">
        <v>5.58</v>
      </c>
      <c r="F17" s="3">
        <v>1.352</v>
      </c>
      <c r="G17" s="3">
        <v>2.84</v>
      </c>
      <c r="H17" s="3">
        <v>5.482</v>
      </c>
      <c r="I17" s="3">
        <f t="shared" si="1"/>
        <v>15.702</v>
      </c>
      <c r="J17" s="3">
        <f t="shared" si="2"/>
        <v>9.528021908</v>
      </c>
      <c r="K17" s="3">
        <f t="shared" si="3"/>
        <v>0.476056338</v>
      </c>
    </row>
    <row r="18">
      <c r="A18" s="2">
        <v>17.0</v>
      </c>
      <c r="B18" s="3">
        <v>111.696</v>
      </c>
      <c r="C18" s="3">
        <v>5.089</v>
      </c>
      <c r="D18" s="3">
        <v>9.294</v>
      </c>
      <c r="E18" s="3">
        <v>4.856</v>
      </c>
      <c r="F18" s="3">
        <v>1.154</v>
      </c>
      <c r="G18" s="3">
        <v>3.024</v>
      </c>
      <c r="H18" s="3">
        <v>3.999</v>
      </c>
      <c r="I18" s="3">
        <f t="shared" si="1"/>
        <v>14.383</v>
      </c>
      <c r="J18" s="3">
        <f t="shared" si="2"/>
        <v>7.765834666</v>
      </c>
      <c r="K18" s="3">
        <f t="shared" si="3"/>
        <v>0.3816137566</v>
      </c>
    </row>
    <row r="19">
      <c r="A19" s="2">
        <v>18.0</v>
      </c>
      <c r="B19" s="3">
        <v>161.023</v>
      </c>
      <c r="C19" s="3">
        <v>5.039</v>
      </c>
      <c r="D19" s="3">
        <v>7.691</v>
      </c>
      <c r="E19" s="3">
        <v>4.445</v>
      </c>
      <c r="F19" s="3">
        <v>1.136</v>
      </c>
      <c r="G19" s="3">
        <v>2.704</v>
      </c>
      <c r="H19" s="3">
        <v>3.684</v>
      </c>
      <c r="I19" s="3">
        <f t="shared" si="1"/>
        <v>12.73</v>
      </c>
      <c r="J19" s="3">
        <f t="shared" si="2"/>
        <v>12.64909662</v>
      </c>
      <c r="K19" s="3">
        <f t="shared" si="3"/>
        <v>0.4201183432</v>
      </c>
    </row>
    <row r="20">
      <c r="A20" s="2">
        <v>19.0</v>
      </c>
      <c r="B20" s="3">
        <v>111.244</v>
      </c>
      <c r="C20" s="3">
        <v>4.939</v>
      </c>
      <c r="D20" s="3">
        <v>7.911</v>
      </c>
      <c r="E20" s="3">
        <v>5.341</v>
      </c>
      <c r="F20" s="3">
        <v>1.107</v>
      </c>
      <c r="G20" s="3">
        <v>2.48</v>
      </c>
      <c r="H20" s="3">
        <v>3.579</v>
      </c>
      <c r="I20" s="3">
        <f t="shared" si="1"/>
        <v>12.85</v>
      </c>
      <c r="J20" s="3">
        <f t="shared" si="2"/>
        <v>8.657120623</v>
      </c>
      <c r="K20" s="3">
        <f t="shared" si="3"/>
        <v>0.4463709677</v>
      </c>
    </row>
    <row r="21" ht="15.75" customHeight="1">
      <c r="A21" s="2">
        <v>20.0</v>
      </c>
      <c r="B21" s="3">
        <v>113.412</v>
      </c>
      <c r="C21" s="3">
        <v>5.641</v>
      </c>
      <c r="D21" s="3">
        <v>8.478</v>
      </c>
      <c r="E21" s="3">
        <v>5.305</v>
      </c>
      <c r="F21" s="3">
        <v>1.289</v>
      </c>
      <c r="G21" s="3">
        <v>3.118</v>
      </c>
      <c r="H21" s="3">
        <v>4.47</v>
      </c>
      <c r="I21" s="3">
        <f t="shared" si="1"/>
        <v>14.119</v>
      </c>
      <c r="J21" s="3">
        <f t="shared" si="2"/>
        <v>8.032580211</v>
      </c>
      <c r="K21" s="3">
        <f t="shared" si="3"/>
        <v>0.4134060295</v>
      </c>
    </row>
    <row r="22" ht="15.75" customHeight="1">
      <c r="A22" s="2">
        <v>21.0</v>
      </c>
      <c r="B22" s="3">
        <v>81.052</v>
      </c>
      <c r="C22" s="3">
        <v>5.001</v>
      </c>
      <c r="D22" s="3">
        <v>9.029</v>
      </c>
      <c r="E22" s="3">
        <v>4.501</v>
      </c>
      <c r="F22" s="3">
        <v>1.15</v>
      </c>
      <c r="G22" s="3">
        <v>2.108</v>
      </c>
      <c r="H22" s="3">
        <v>3.696</v>
      </c>
      <c r="I22" s="3">
        <f t="shared" si="1"/>
        <v>14.03</v>
      </c>
      <c r="J22" s="3">
        <f t="shared" si="2"/>
        <v>5.77704918</v>
      </c>
      <c r="K22" s="3">
        <f t="shared" si="3"/>
        <v>0.545540797</v>
      </c>
    </row>
    <row r="23" ht="15.75" customHeight="1">
      <c r="A23" s="2">
        <v>22.0</v>
      </c>
      <c r="B23" s="3">
        <v>135.469</v>
      </c>
      <c r="C23" s="3">
        <v>5.391</v>
      </c>
      <c r="D23" s="3">
        <v>8.826</v>
      </c>
      <c r="E23" s="3">
        <v>5.156</v>
      </c>
      <c r="F23" s="3">
        <v>1.458</v>
      </c>
      <c r="G23" s="3">
        <v>2.964</v>
      </c>
      <c r="H23" s="3">
        <v>3.521</v>
      </c>
      <c r="I23" s="3">
        <f t="shared" si="1"/>
        <v>14.217</v>
      </c>
      <c r="J23" s="3">
        <f t="shared" si="2"/>
        <v>9.528662868</v>
      </c>
      <c r="K23" s="3">
        <f t="shared" si="3"/>
        <v>0.491902834</v>
      </c>
    </row>
    <row r="24" ht="15.75" customHeight="1">
      <c r="A24" s="2">
        <v>23.0</v>
      </c>
      <c r="B24" s="3">
        <v>119.713</v>
      </c>
      <c r="C24" s="3">
        <v>6.321</v>
      </c>
      <c r="D24" s="3">
        <v>10.109</v>
      </c>
      <c r="E24" s="3">
        <v>5.796</v>
      </c>
      <c r="F24" s="3">
        <v>1.475</v>
      </c>
      <c r="G24" s="3">
        <v>3.325</v>
      </c>
      <c r="H24" s="3">
        <v>5.934</v>
      </c>
      <c r="I24" s="3">
        <f t="shared" si="1"/>
        <v>16.43</v>
      </c>
      <c r="J24" s="3">
        <f t="shared" si="2"/>
        <v>7.286244674</v>
      </c>
      <c r="K24" s="3">
        <f t="shared" si="3"/>
        <v>0.4436090226</v>
      </c>
    </row>
    <row r="25" ht="15.75" customHeight="1">
      <c r="A25" s="2">
        <v>24.0</v>
      </c>
      <c r="B25" s="3">
        <v>174.863</v>
      </c>
      <c r="C25" s="3">
        <v>6.848</v>
      </c>
      <c r="D25" s="3">
        <v>8.648</v>
      </c>
      <c r="E25" s="3">
        <v>6.079</v>
      </c>
      <c r="F25" s="3">
        <v>1.334</v>
      </c>
      <c r="G25" s="3">
        <v>2.802</v>
      </c>
      <c r="H25" s="3">
        <v>6.068</v>
      </c>
      <c r="I25" s="3">
        <f t="shared" si="1"/>
        <v>15.496</v>
      </c>
      <c r="J25" s="3">
        <f t="shared" si="2"/>
        <v>11.28439597</v>
      </c>
      <c r="K25" s="3">
        <f t="shared" si="3"/>
        <v>0.4760885082</v>
      </c>
    </row>
    <row r="26" ht="15.75" customHeight="1">
      <c r="A26" s="2">
        <v>25.0</v>
      </c>
      <c r="B26" s="3">
        <v>151.795</v>
      </c>
      <c r="C26" s="3">
        <v>5.829</v>
      </c>
      <c r="D26" s="3">
        <v>10.27</v>
      </c>
      <c r="E26" s="3">
        <v>5.235</v>
      </c>
      <c r="F26" s="3">
        <v>1.418</v>
      </c>
      <c r="G26" s="3">
        <v>3.385</v>
      </c>
      <c r="H26" s="3">
        <v>5.483</v>
      </c>
      <c r="I26" s="3">
        <f t="shared" si="1"/>
        <v>16.099</v>
      </c>
      <c r="J26" s="3">
        <f t="shared" si="2"/>
        <v>9.428846512</v>
      </c>
      <c r="K26" s="3">
        <f t="shared" si="3"/>
        <v>0.4189069424</v>
      </c>
    </row>
    <row r="27" ht="15.75" customHeight="1">
      <c r="A27" s="2">
        <v>26.0</v>
      </c>
      <c r="B27" s="3">
        <v>135.581</v>
      </c>
      <c r="C27" s="3">
        <v>4.728</v>
      </c>
      <c r="D27" s="3">
        <v>9.042</v>
      </c>
      <c r="E27" s="3">
        <v>4.883</v>
      </c>
      <c r="F27" s="3">
        <v>1.33</v>
      </c>
      <c r="G27" s="3">
        <v>2.865</v>
      </c>
      <c r="H27" s="3">
        <v>3.739</v>
      </c>
      <c r="I27" s="3">
        <f t="shared" si="1"/>
        <v>13.77</v>
      </c>
      <c r="J27" s="3">
        <f t="shared" si="2"/>
        <v>9.846114742</v>
      </c>
      <c r="K27" s="3">
        <f t="shared" si="3"/>
        <v>0.4642233857</v>
      </c>
    </row>
    <row r="28" ht="15.75" customHeight="1">
      <c r="A28" s="2">
        <v>27.0</v>
      </c>
      <c r="B28" s="3">
        <v>130.99</v>
      </c>
      <c r="C28" s="3">
        <v>4.857</v>
      </c>
      <c r="D28" s="3">
        <v>8.918</v>
      </c>
      <c r="E28" s="3">
        <v>4.249</v>
      </c>
      <c r="F28" s="3">
        <v>1.513</v>
      </c>
      <c r="G28" s="3">
        <v>2.412</v>
      </c>
      <c r="H28" s="3">
        <v>4.273</v>
      </c>
      <c r="I28" s="3">
        <f t="shared" si="1"/>
        <v>13.775</v>
      </c>
      <c r="J28" s="3">
        <f t="shared" si="2"/>
        <v>9.509255898</v>
      </c>
      <c r="K28" s="3">
        <f t="shared" si="3"/>
        <v>0.6272802653</v>
      </c>
    </row>
    <row r="29" ht="15.75" customHeight="1">
      <c r="A29" s="2">
        <v>28.0</v>
      </c>
      <c r="B29" s="3">
        <v>143.059</v>
      </c>
      <c r="C29" s="3">
        <v>4.694</v>
      </c>
      <c r="D29" s="3">
        <v>8.668</v>
      </c>
      <c r="E29" s="3">
        <v>5.443</v>
      </c>
      <c r="F29" s="3">
        <v>1.439</v>
      </c>
      <c r="G29" s="3">
        <v>2.81</v>
      </c>
      <c r="H29" s="3">
        <v>3.728</v>
      </c>
      <c r="I29" s="3">
        <f t="shared" si="1"/>
        <v>13.362</v>
      </c>
      <c r="J29" s="3">
        <f t="shared" si="2"/>
        <v>10.70640623</v>
      </c>
      <c r="K29" s="3">
        <f t="shared" si="3"/>
        <v>0.5120996441</v>
      </c>
    </row>
    <row r="30" ht="15.75" customHeight="1">
      <c r="A30" s="2">
        <v>29.0</v>
      </c>
      <c r="B30" s="3">
        <v>111.009</v>
      </c>
      <c r="C30" s="3">
        <v>5.375</v>
      </c>
      <c r="D30" s="3">
        <v>9.623</v>
      </c>
      <c r="E30" s="3">
        <v>4.918</v>
      </c>
      <c r="F30" s="3">
        <v>1.314</v>
      </c>
      <c r="G30" s="3">
        <v>2.941</v>
      </c>
      <c r="H30" s="3">
        <v>3.856</v>
      </c>
      <c r="I30" s="3">
        <f t="shared" si="1"/>
        <v>14.998</v>
      </c>
      <c r="J30" s="3">
        <f t="shared" si="2"/>
        <v>7.401586878</v>
      </c>
      <c r="K30" s="3">
        <f t="shared" si="3"/>
        <v>0.4467868072</v>
      </c>
    </row>
    <row r="31" ht="15.75" customHeight="1">
      <c r="A31" s="2">
        <v>30.0</v>
      </c>
      <c r="B31" s="3">
        <v>162.834</v>
      </c>
      <c r="C31" s="3">
        <v>5.913</v>
      </c>
      <c r="D31" s="3">
        <v>9.964</v>
      </c>
      <c r="E31" s="3">
        <v>5.741</v>
      </c>
      <c r="F31" s="3">
        <v>1.432</v>
      </c>
      <c r="G31" s="3">
        <v>3.364</v>
      </c>
      <c r="H31" s="3">
        <v>5.332</v>
      </c>
      <c r="I31" s="3">
        <f t="shared" si="1"/>
        <v>15.877</v>
      </c>
      <c r="J31" s="3">
        <f t="shared" si="2"/>
        <v>10.25596775</v>
      </c>
      <c r="K31" s="3">
        <f t="shared" si="3"/>
        <v>0.4256837099</v>
      </c>
    </row>
    <row r="32" ht="15.75" customHeight="1">
      <c r="A32" s="2" t="s">
        <v>13</v>
      </c>
      <c r="B32" s="3">
        <f t="shared" ref="B32:K32" si="4">AVERAGE(B2:B31)</f>
        <v>135.7675</v>
      </c>
      <c r="C32" s="3">
        <f t="shared" si="4"/>
        <v>5.2836</v>
      </c>
      <c r="D32" s="3">
        <f t="shared" si="4"/>
        <v>9.073266667</v>
      </c>
      <c r="E32" s="3">
        <f t="shared" si="4"/>
        <v>5.244533333</v>
      </c>
      <c r="F32" s="3">
        <f t="shared" si="4"/>
        <v>1.318066667</v>
      </c>
      <c r="G32" s="3">
        <f t="shared" si="4"/>
        <v>2.966466667</v>
      </c>
      <c r="H32" s="3">
        <f t="shared" si="4"/>
        <v>4.454033333</v>
      </c>
      <c r="I32" s="3">
        <f t="shared" si="4"/>
        <v>14.35686667</v>
      </c>
      <c r="J32" s="3">
        <f t="shared" si="4"/>
        <v>9.477879553</v>
      </c>
      <c r="K32" s="3">
        <f t="shared" si="4"/>
        <v>0.4483287428</v>
      </c>
    </row>
    <row r="33" ht="15.75" customHeight="1">
      <c r="A33" s="2" t="s">
        <v>18</v>
      </c>
      <c r="B33" s="3">
        <f t="shared" ref="B33:K33" si="5">STDEV(B2:B31)</f>
        <v>19.83200265</v>
      </c>
      <c r="C33" s="3">
        <f t="shared" si="5"/>
        <v>0.5199464561</v>
      </c>
      <c r="D33" s="3">
        <f t="shared" si="5"/>
        <v>0.7559778291</v>
      </c>
      <c r="E33" s="3">
        <f t="shared" si="5"/>
        <v>0.4985051954</v>
      </c>
      <c r="F33" s="3">
        <f t="shared" si="5"/>
        <v>0.1450412387</v>
      </c>
      <c r="G33" s="3">
        <f t="shared" si="5"/>
        <v>0.3188251854</v>
      </c>
      <c r="H33" s="3">
        <f t="shared" si="5"/>
        <v>0.7396986098</v>
      </c>
      <c r="I33" s="3">
        <f t="shared" si="5"/>
        <v>1.024668651</v>
      </c>
      <c r="J33" s="3">
        <f t="shared" si="5"/>
        <v>1.379555064</v>
      </c>
      <c r="K33" s="3">
        <f t="shared" si="5"/>
        <v>0.06169311591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10.528</v>
      </c>
      <c r="C2" s="3">
        <v>2.246</v>
      </c>
      <c r="D2" s="3">
        <v>2.174</v>
      </c>
      <c r="E2" s="3">
        <v>1.755</v>
      </c>
      <c r="F2" s="3">
        <v>0.353</v>
      </c>
      <c r="G2" s="3">
        <v>0.868</v>
      </c>
      <c r="H2" s="3">
        <v>0.352</v>
      </c>
      <c r="I2" s="3">
        <f t="shared" ref="I2:I30" si="1">C2+D2</f>
        <v>4.42</v>
      </c>
      <c r="J2" s="3">
        <f t="shared" ref="J2:J30" si="2">B2/I2</f>
        <v>2.381900452</v>
      </c>
      <c r="K2" s="3">
        <f t="shared" ref="K2:K30" si="3">F2/G2</f>
        <v>0.4066820276</v>
      </c>
    </row>
    <row r="3">
      <c r="A3" s="2">
        <v>2.0</v>
      </c>
      <c r="B3" s="3">
        <v>8.689</v>
      </c>
      <c r="C3" s="3">
        <v>1.442</v>
      </c>
      <c r="D3" s="3">
        <v>2.262</v>
      </c>
      <c r="E3" s="3">
        <v>1.048</v>
      </c>
      <c r="F3" s="3">
        <v>0.397</v>
      </c>
      <c r="G3" s="3">
        <v>1.085</v>
      </c>
      <c r="H3" s="3">
        <v>0.29</v>
      </c>
      <c r="I3" s="3">
        <f t="shared" si="1"/>
        <v>3.704</v>
      </c>
      <c r="J3" s="3">
        <f t="shared" si="2"/>
        <v>2.345842333</v>
      </c>
      <c r="K3" s="3">
        <f t="shared" si="3"/>
        <v>0.3658986175</v>
      </c>
    </row>
    <row r="4">
      <c r="A4" s="2">
        <v>3.0</v>
      </c>
      <c r="B4" s="3">
        <v>10.27</v>
      </c>
      <c r="C4" s="3">
        <v>2.13</v>
      </c>
      <c r="D4" s="3">
        <v>2.5</v>
      </c>
      <c r="E4" s="3">
        <v>2.123</v>
      </c>
      <c r="F4" s="3">
        <v>0.343</v>
      </c>
      <c r="G4" s="3">
        <v>0.884</v>
      </c>
      <c r="H4" s="3">
        <v>0.447</v>
      </c>
      <c r="I4" s="3">
        <f t="shared" si="1"/>
        <v>4.63</v>
      </c>
      <c r="J4" s="3">
        <f t="shared" si="2"/>
        <v>2.218142549</v>
      </c>
      <c r="K4" s="3">
        <f t="shared" si="3"/>
        <v>0.3880090498</v>
      </c>
    </row>
    <row r="5">
      <c r="A5" s="2">
        <v>4.0</v>
      </c>
      <c r="B5" s="3">
        <v>8.695</v>
      </c>
      <c r="C5" s="3">
        <v>2.442</v>
      </c>
      <c r="D5" s="3">
        <v>2.384</v>
      </c>
      <c r="E5" s="3">
        <v>1.979</v>
      </c>
      <c r="F5" s="3">
        <v>0.384</v>
      </c>
      <c r="G5" s="3">
        <v>1.013</v>
      </c>
      <c r="H5" s="3">
        <v>0.324</v>
      </c>
      <c r="I5" s="3">
        <f t="shared" si="1"/>
        <v>4.826</v>
      </c>
      <c r="J5" s="3">
        <f t="shared" si="2"/>
        <v>1.80169913</v>
      </c>
      <c r="K5" s="3">
        <f t="shared" si="3"/>
        <v>0.3790720632</v>
      </c>
    </row>
    <row r="6">
      <c r="A6" s="2">
        <v>5.0</v>
      </c>
      <c r="B6" s="3">
        <v>11.502</v>
      </c>
      <c r="C6" s="3">
        <v>2.361</v>
      </c>
      <c r="D6" s="3">
        <v>2.456</v>
      </c>
      <c r="E6" s="3">
        <v>2.036</v>
      </c>
      <c r="F6" s="3">
        <v>0.344</v>
      </c>
      <c r="G6" s="3">
        <v>1.008</v>
      </c>
      <c r="H6" s="3">
        <v>0.48</v>
      </c>
      <c r="I6" s="3">
        <f t="shared" si="1"/>
        <v>4.817</v>
      </c>
      <c r="J6" s="3">
        <f t="shared" si="2"/>
        <v>2.387793232</v>
      </c>
      <c r="K6" s="3">
        <f t="shared" si="3"/>
        <v>0.3412698413</v>
      </c>
    </row>
    <row r="7">
      <c r="A7" s="2">
        <v>6.0</v>
      </c>
      <c r="B7" s="3">
        <v>8.281</v>
      </c>
      <c r="C7" s="3">
        <v>1.667</v>
      </c>
      <c r="D7" s="3">
        <v>2.106</v>
      </c>
      <c r="E7" s="3">
        <v>1.132</v>
      </c>
      <c r="F7" s="3">
        <v>0.388</v>
      </c>
      <c r="G7" s="3">
        <v>0.873</v>
      </c>
      <c r="H7" s="3">
        <v>0.401</v>
      </c>
      <c r="I7" s="3">
        <f t="shared" si="1"/>
        <v>3.773</v>
      </c>
      <c r="J7" s="3">
        <f t="shared" si="2"/>
        <v>2.194805195</v>
      </c>
      <c r="K7" s="3">
        <f t="shared" si="3"/>
        <v>0.4444444444</v>
      </c>
    </row>
    <row r="8">
      <c r="A8" s="2">
        <v>7.0</v>
      </c>
      <c r="B8" s="3">
        <v>8.148</v>
      </c>
      <c r="C8" s="3">
        <v>1.889</v>
      </c>
      <c r="D8" s="3">
        <v>2.207</v>
      </c>
      <c r="E8" s="3">
        <v>1.576</v>
      </c>
      <c r="F8" s="3">
        <v>0.36</v>
      </c>
      <c r="G8" s="3">
        <v>0.623</v>
      </c>
      <c r="H8" s="3">
        <v>0.37</v>
      </c>
      <c r="I8" s="3">
        <f t="shared" si="1"/>
        <v>4.096</v>
      </c>
      <c r="J8" s="3">
        <f t="shared" si="2"/>
        <v>1.989257813</v>
      </c>
      <c r="K8" s="3">
        <f t="shared" si="3"/>
        <v>0.5778491172</v>
      </c>
    </row>
    <row r="9">
      <c r="A9" s="2">
        <v>8.0</v>
      </c>
      <c r="B9" s="3">
        <v>7.771</v>
      </c>
      <c r="C9" s="3">
        <v>2.03</v>
      </c>
      <c r="D9" s="3">
        <v>2.47</v>
      </c>
      <c r="E9" s="3">
        <v>1.665</v>
      </c>
      <c r="F9" s="3">
        <v>0.326</v>
      </c>
      <c r="G9" s="3">
        <v>0.935</v>
      </c>
      <c r="H9" s="3">
        <v>0.457</v>
      </c>
      <c r="I9" s="3">
        <f t="shared" si="1"/>
        <v>4.5</v>
      </c>
      <c r="J9" s="3">
        <f t="shared" si="2"/>
        <v>1.726888889</v>
      </c>
      <c r="K9" s="3">
        <f t="shared" si="3"/>
        <v>0.3486631016</v>
      </c>
    </row>
    <row r="10">
      <c r="A10" s="2">
        <v>9.0</v>
      </c>
      <c r="B10" s="3">
        <v>7.328</v>
      </c>
      <c r="C10" s="3">
        <v>2.072</v>
      </c>
      <c r="D10" s="3">
        <v>2.118</v>
      </c>
      <c r="E10" s="3">
        <v>1.453</v>
      </c>
      <c r="F10" s="3">
        <v>0.336</v>
      </c>
      <c r="G10" s="3">
        <v>0.914</v>
      </c>
      <c r="H10" s="3">
        <v>0.379</v>
      </c>
      <c r="I10" s="3">
        <f t="shared" si="1"/>
        <v>4.19</v>
      </c>
      <c r="J10" s="3">
        <f t="shared" si="2"/>
        <v>1.748926014</v>
      </c>
      <c r="K10" s="3">
        <f t="shared" si="3"/>
        <v>0.3676148796</v>
      </c>
    </row>
    <row r="11">
      <c r="A11" s="2">
        <v>10.0</v>
      </c>
      <c r="B11" s="3">
        <v>6.227</v>
      </c>
      <c r="C11" s="3">
        <v>1.922</v>
      </c>
      <c r="D11" s="3">
        <v>2.15</v>
      </c>
      <c r="E11" s="3">
        <v>1.704</v>
      </c>
      <c r="F11" s="3">
        <v>0.343</v>
      </c>
      <c r="G11" s="3">
        <v>0.845</v>
      </c>
      <c r="H11" s="3">
        <v>0.404</v>
      </c>
      <c r="I11" s="3">
        <f t="shared" si="1"/>
        <v>4.072</v>
      </c>
      <c r="J11" s="3">
        <f t="shared" si="2"/>
        <v>1.529223969</v>
      </c>
      <c r="K11" s="3">
        <f t="shared" si="3"/>
        <v>0.4059171598</v>
      </c>
    </row>
    <row r="12">
      <c r="A12" s="2">
        <v>11.0</v>
      </c>
      <c r="B12" s="3">
        <v>7.605</v>
      </c>
      <c r="C12" s="3">
        <v>2.048</v>
      </c>
      <c r="D12" s="3">
        <v>2.249</v>
      </c>
      <c r="E12" s="3">
        <v>1.74</v>
      </c>
      <c r="F12" s="3">
        <v>0.323</v>
      </c>
      <c r="G12" s="3">
        <v>0.779</v>
      </c>
      <c r="H12" s="3">
        <v>0.43</v>
      </c>
      <c r="I12" s="3">
        <f t="shared" si="1"/>
        <v>4.297</v>
      </c>
      <c r="J12" s="3">
        <f t="shared" si="2"/>
        <v>1.769839423</v>
      </c>
      <c r="K12" s="3">
        <f t="shared" si="3"/>
        <v>0.4146341463</v>
      </c>
    </row>
    <row r="13">
      <c r="A13" s="2">
        <v>12.0</v>
      </c>
      <c r="B13" s="3">
        <v>5.829</v>
      </c>
      <c r="C13" s="3">
        <v>1.664</v>
      </c>
      <c r="D13" s="3">
        <v>1.866</v>
      </c>
      <c r="E13" s="3">
        <v>1.163</v>
      </c>
      <c r="F13" s="3">
        <v>0.291</v>
      </c>
      <c r="G13" s="3">
        <v>0.812</v>
      </c>
      <c r="H13" s="3">
        <v>0.293</v>
      </c>
      <c r="I13" s="3">
        <f t="shared" si="1"/>
        <v>3.53</v>
      </c>
      <c r="J13" s="3">
        <f t="shared" si="2"/>
        <v>1.651274788</v>
      </c>
      <c r="K13" s="3">
        <f t="shared" si="3"/>
        <v>0.3583743842</v>
      </c>
    </row>
    <row r="14">
      <c r="A14" s="2">
        <v>13.0</v>
      </c>
      <c r="B14" s="3">
        <v>8.194</v>
      </c>
      <c r="C14" s="3">
        <v>2.208</v>
      </c>
      <c r="D14" s="3">
        <v>2.549</v>
      </c>
      <c r="E14" s="3">
        <v>1.199</v>
      </c>
      <c r="F14" s="3">
        <v>0.36</v>
      </c>
      <c r="G14" s="3">
        <v>0.908</v>
      </c>
      <c r="H14" s="3">
        <v>0.415</v>
      </c>
      <c r="I14" s="3">
        <f t="shared" si="1"/>
        <v>4.757</v>
      </c>
      <c r="J14" s="3">
        <f t="shared" si="2"/>
        <v>1.72251419</v>
      </c>
      <c r="K14" s="3">
        <f t="shared" si="3"/>
        <v>0.3964757709</v>
      </c>
    </row>
    <row r="15">
      <c r="A15" s="2">
        <v>14.0</v>
      </c>
      <c r="B15" s="3">
        <v>8.714</v>
      </c>
      <c r="C15" s="3">
        <v>2.365</v>
      </c>
      <c r="D15" s="3">
        <v>2.415</v>
      </c>
      <c r="E15" s="3">
        <v>1.539</v>
      </c>
      <c r="F15" s="3">
        <v>0.321</v>
      </c>
      <c r="G15" s="3">
        <v>1.041</v>
      </c>
      <c r="H15" s="3">
        <v>0.47</v>
      </c>
      <c r="I15" s="3">
        <f t="shared" si="1"/>
        <v>4.78</v>
      </c>
      <c r="J15" s="3">
        <f t="shared" si="2"/>
        <v>1.823012552</v>
      </c>
      <c r="K15" s="3">
        <f t="shared" si="3"/>
        <v>0.3083573487</v>
      </c>
    </row>
    <row r="16">
      <c r="A16" s="2">
        <v>15.0</v>
      </c>
      <c r="B16" s="3">
        <v>7.384</v>
      </c>
      <c r="C16" s="3">
        <v>1.617</v>
      </c>
      <c r="D16" s="3">
        <v>2.126</v>
      </c>
      <c r="E16" s="3">
        <v>1.408</v>
      </c>
      <c r="F16" s="3">
        <v>0.352</v>
      </c>
      <c r="G16" s="3">
        <v>1.041</v>
      </c>
      <c r="H16" s="3">
        <v>0.346</v>
      </c>
      <c r="I16" s="3">
        <f t="shared" si="1"/>
        <v>3.743</v>
      </c>
      <c r="J16" s="3">
        <f t="shared" si="2"/>
        <v>1.972749132</v>
      </c>
      <c r="K16" s="3">
        <f t="shared" si="3"/>
        <v>0.3381364073</v>
      </c>
    </row>
    <row r="17">
      <c r="A17" s="2">
        <v>16.0</v>
      </c>
      <c r="B17" s="3">
        <v>9.272</v>
      </c>
      <c r="C17" s="3">
        <v>2.21</v>
      </c>
      <c r="D17" s="3">
        <v>2.252</v>
      </c>
      <c r="E17" s="3">
        <v>1.35</v>
      </c>
      <c r="F17" s="3">
        <v>0.358</v>
      </c>
      <c r="G17" s="3">
        <v>1.222</v>
      </c>
      <c r="H17" s="3">
        <v>0.303</v>
      </c>
      <c r="I17" s="3">
        <f t="shared" si="1"/>
        <v>4.462</v>
      </c>
      <c r="J17" s="3">
        <f t="shared" si="2"/>
        <v>2.077991932</v>
      </c>
      <c r="K17" s="3">
        <f t="shared" si="3"/>
        <v>0.2929623568</v>
      </c>
    </row>
    <row r="18">
      <c r="A18" s="2">
        <v>18.0</v>
      </c>
      <c r="B18" s="3">
        <v>10.708</v>
      </c>
      <c r="C18" s="3">
        <v>2.61</v>
      </c>
      <c r="D18" s="3">
        <v>2.42</v>
      </c>
      <c r="E18" s="3">
        <v>1.833</v>
      </c>
      <c r="F18" s="3">
        <v>0.512</v>
      </c>
      <c r="G18" s="3">
        <v>1.155</v>
      </c>
      <c r="H18" s="3">
        <v>0.546</v>
      </c>
      <c r="I18" s="3">
        <f t="shared" si="1"/>
        <v>5.03</v>
      </c>
      <c r="J18" s="3">
        <f t="shared" si="2"/>
        <v>2.128827038</v>
      </c>
      <c r="K18" s="3">
        <f t="shared" si="3"/>
        <v>0.4432900433</v>
      </c>
    </row>
    <row r="19">
      <c r="A19" s="2">
        <v>19.0</v>
      </c>
      <c r="B19" s="3">
        <v>8.102</v>
      </c>
      <c r="C19" s="3">
        <v>2.604</v>
      </c>
      <c r="D19" s="3">
        <v>2.669</v>
      </c>
      <c r="E19" s="3">
        <v>1.761</v>
      </c>
      <c r="F19" s="3">
        <v>0.491</v>
      </c>
      <c r="G19" s="3">
        <v>1.04</v>
      </c>
      <c r="H19" s="3">
        <v>0.483</v>
      </c>
      <c r="I19" s="3">
        <f t="shared" si="1"/>
        <v>5.273</v>
      </c>
      <c r="J19" s="3">
        <f t="shared" si="2"/>
        <v>1.536506732</v>
      </c>
      <c r="K19" s="3">
        <f t="shared" si="3"/>
        <v>0.4721153846</v>
      </c>
    </row>
    <row r="20">
      <c r="A20" s="2">
        <v>20.0</v>
      </c>
      <c r="B20" s="3">
        <v>9.978</v>
      </c>
      <c r="C20" s="3">
        <v>2.066</v>
      </c>
      <c r="D20" s="3">
        <v>2.01</v>
      </c>
      <c r="E20" s="3">
        <v>1.78</v>
      </c>
      <c r="F20" s="3">
        <v>0.38</v>
      </c>
      <c r="G20" s="3">
        <v>0.931</v>
      </c>
      <c r="H20" s="3">
        <v>0.534</v>
      </c>
      <c r="I20" s="3">
        <f t="shared" si="1"/>
        <v>4.076</v>
      </c>
      <c r="J20" s="3">
        <f t="shared" si="2"/>
        <v>2.447988224</v>
      </c>
      <c r="K20" s="3">
        <f t="shared" si="3"/>
        <v>0.4081632653</v>
      </c>
    </row>
    <row r="21" ht="15.75" customHeight="1">
      <c r="A21" s="2">
        <v>21.0</v>
      </c>
      <c r="B21" s="3">
        <v>7.294</v>
      </c>
      <c r="C21" s="3">
        <v>2.06</v>
      </c>
      <c r="D21" s="3">
        <v>2.245</v>
      </c>
      <c r="E21" s="2">
        <v>1.463</v>
      </c>
      <c r="F21" s="3">
        <v>0.395</v>
      </c>
      <c r="G21" s="3">
        <v>0.966</v>
      </c>
      <c r="H21" s="3">
        <v>0.462</v>
      </c>
      <c r="I21" s="3">
        <f t="shared" si="1"/>
        <v>4.305</v>
      </c>
      <c r="J21" s="3">
        <f t="shared" si="2"/>
        <v>1.694308943</v>
      </c>
      <c r="K21" s="3">
        <f t="shared" si="3"/>
        <v>0.4089026915</v>
      </c>
    </row>
    <row r="22" ht="15.75" customHeight="1">
      <c r="A22" s="2">
        <v>22.0</v>
      </c>
      <c r="B22" s="3">
        <v>8.382</v>
      </c>
      <c r="C22" s="3">
        <v>2.323</v>
      </c>
      <c r="D22" s="3">
        <v>2.796</v>
      </c>
      <c r="E22" s="3">
        <v>1.512</v>
      </c>
      <c r="F22" s="3">
        <v>0.361</v>
      </c>
      <c r="G22" s="3">
        <v>0.962</v>
      </c>
      <c r="H22" s="3">
        <v>0.422</v>
      </c>
      <c r="I22" s="3">
        <f t="shared" si="1"/>
        <v>5.119</v>
      </c>
      <c r="J22" s="3">
        <f t="shared" si="2"/>
        <v>1.637429185</v>
      </c>
      <c r="K22" s="3">
        <f t="shared" si="3"/>
        <v>0.3752598753</v>
      </c>
    </row>
    <row r="23" ht="15.75" customHeight="1">
      <c r="A23" s="2">
        <v>23.0</v>
      </c>
      <c r="B23" s="3">
        <v>10.547</v>
      </c>
      <c r="C23" s="3">
        <v>2.294</v>
      </c>
      <c r="D23" s="3">
        <v>2.492</v>
      </c>
      <c r="E23" s="3">
        <v>2.163</v>
      </c>
      <c r="F23" s="3">
        <v>0.237</v>
      </c>
      <c r="G23" s="2">
        <v>1.023</v>
      </c>
      <c r="H23" s="3">
        <v>0.308</v>
      </c>
      <c r="I23" s="3">
        <f t="shared" si="1"/>
        <v>4.786</v>
      </c>
      <c r="J23" s="3">
        <f t="shared" si="2"/>
        <v>2.203719181</v>
      </c>
      <c r="K23" s="3">
        <f t="shared" si="3"/>
        <v>0.2316715543</v>
      </c>
    </row>
    <row r="24" ht="15.75" customHeight="1">
      <c r="A24" s="2">
        <v>24.0</v>
      </c>
      <c r="B24" s="3">
        <v>7.735</v>
      </c>
      <c r="C24" s="3">
        <v>1.974</v>
      </c>
      <c r="D24" s="3">
        <v>2.001</v>
      </c>
      <c r="E24" s="3">
        <v>1.58</v>
      </c>
      <c r="F24" s="3">
        <v>0.35</v>
      </c>
      <c r="G24" s="3">
        <v>0.831</v>
      </c>
      <c r="H24" s="3">
        <v>0.425</v>
      </c>
      <c r="I24" s="3">
        <f t="shared" si="1"/>
        <v>3.975</v>
      </c>
      <c r="J24" s="3">
        <f t="shared" si="2"/>
        <v>1.94591195</v>
      </c>
      <c r="K24" s="3">
        <f t="shared" si="3"/>
        <v>0.421179302</v>
      </c>
    </row>
    <row r="25" ht="15.75" customHeight="1">
      <c r="A25" s="2">
        <v>25.0</v>
      </c>
      <c r="B25" s="3">
        <v>11.941</v>
      </c>
      <c r="C25" s="3">
        <v>2.185</v>
      </c>
      <c r="D25" s="3">
        <v>2.502</v>
      </c>
      <c r="E25" s="3">
        <v>1.645</v>
      </c>
      <c r="F25" s="3">
        <v>0.337</v>
      </c>
      <c r="G25" s="3">
        <v>1.062</v>
      </c>
      <c r="H25" s="3">
        <v>0.457</v>
      </c>
      <c r="I25" s="3">
        <f t="shared" si="1"/>
        <v>4.687</v>
      </c>
      <c r="J25" s="3">
        <f t="shared" si="2"/>
        <v>2.547685086</v>
      </c>
      <c r="K25" s="3">
        <f t="shared" si="3"/>
        <v>0.3173258004</v>
      </c>
    </row>
    <row r="26" ht="15.75" customHeight="1">
      <c r="A26" s="2">
        <v>26.0</v>
      </c>
      <c r="B26" s="3">
        <v>9.076</v>
      </c>
      <c r="C26" s="3">
        <v>1.948</v>
      </c>
      <c r="D26" s="3">
        <v>2.096</v>
      </c>
      <c r="E26" s="3">
        <v>1.917</v>
      </c>
      <c r="F26" s="3">
        <v>0.525</v>
      </c>
      <c r="G26" s="3">
        <v>1.233</v>
      </c>
      <c r="H26" s="3">
        <v>0.555</v>
      </c>
      <c r="I26" s="3">
        <f t="shared" si="1"/>
        <v>4.044</v>
      </c>
      <c r="J26" s="3">
        <f t="shared" si="2"/>
        <v>2.244312562</v>
      </c>
      <c r="K26" s="3">
        <f t="shared" si="3"/>
        <v>0.4257907543</v>
      </c>
    </row>
    <row r="27" ht="15.75" customHeight="1">
      <c r="A27" s="2">
        <v>27.0</v>
      </c>
      <c r="B27" s="3">
        <v>5.582</v>
      </c>
      <c r="C27" s="3">
        <v>1.663</v>
      </c>
      <c r="D27" s="3">
        <v>1.821</v>
      </c>
      <c r="E27" s="3">
        <v>1.372</v>
      </c>
      <c r="F27" s="3">
        <v>0.176</v>
      </c>
      <c r="G27" s="3">
        <v>0.704</v>
      </c>
      <c r="H27" s="3">
        <v>0.219</v>
      </c>
      <c r="I27" s="3">
        <f t="shared" si="1"/>
        <v>3.484</v>
      </c>
      <c r="J27" s="3">
        <f t="shared" si="2"/>
        <v>1.602181401</v>
      </c>
      <c r="K27" s="3">
        <f t="shared" si="3"/>
        <v>0.25</v>
      </c>
    </row>
    <row r="28" ht="15.75" customHeight="1">
      <c r="A28" s="2">
        <v>28.0</v>
      </c>
      <c r="B28" s="3">
        <v>7.993</v>
      </c>
      <c r="C28" s="3">
        <v>2.016</v>
      </c>
      <c r="D28" s="3">
        <v>1.846</v>
      </c>
      <c r="E28" s="3">
        <v>1.612</v>
      </c>
      <c r="F28" s="3">
        <v>0.382</v>
      </c>
      <c r="G28" s="3">
        <v>0.891</v>
      </c>
      <c r="H28" s="3">
        <v>0.349</v>
      </c>
      <c r="I28" s="3">
        <f t="shared" si="1"/>
        <v>3.862</v>
      </c>
      <c r="J28" s="3">
        <f t="shared" si="2"/>
        <v>2.06965303</v>
      </c>
      <c r="K28" s="3">
        <f t="shared" si="3"/>
        <v>0.4287317621</v>
      </c>
    </row>
    <row r="29" ht="15.75" customHeight="1">
      <c r="A29" s="2">
        <v>29.0</v>
      </c>
      <c r="B29" s="3">
        <v>9.726</v>
      </c>
      <c r="C29" s="3">
        <v>1.761</v>
      </c>
      <c r="D29" s="3">
        <v>1.833</v>
      </c>
      <c r="E29" s="3">
        <v>1.091</v>
      </c>
      <c r="F29" s="3">
        <v>0.23</v>
      </c>
      <c r="G29" s="3">
        <v>0.584</v>
      </c>
      <c r="H29" s="3">
        <v>0.334</v>
      </c>
      <c r="I29" s="3">
        <f t="shared" si="1"/>
        <v>3.594</v>
      </c>
      <c r="J29" s="3">
        <f t="shared" si="2"/>
        <v>2.706176962</v>
      </c>
      <c r="K29" s="3">
        <f t="shared" si="3"/>
        <v>0.3938356164</v>
      </c>
    </row>
    <row r="30" ht="15.75" customHeight="1">
      <c r="A30" s="2">
        <v>30.0</v>
      </c>
      <c r="B30" s="3">
        <v>0.6329</v>
      </c>
      <c r="C30" s="3">
        <v>1.639</v>
      </c>
      <c r="D30" s="3">
        <v>1.968</v>
      </c>
      <c r="E30" s="3">
        <v>1.666</v>
      </c>
      <c r="F30" s="3">
        <v>0.372</v>
      </c>
      <c r="G30" s="3">
        <v>0.849</v>
      </c>
      <c r="H30" s="3">
        <v>0.535</v>
      </c>
      <c r="I30" s="3">
        <f t="shared" si="1"/>
        <v>3.607</v>
      </c>
      <c r="J30" s="3">
        <f t="shared" si="2"/>
        <v>0.1754643748</v>
      </c>
      <c r="K30" s="3">
        <f t="shared" si="3"/>
        <v>0.4381625442</v>
      </c>
    </row>
    <row r="31" ht="15.75" customHeight="1">
      <c r="A31" s="2" t="s">
        <v>11</v>
      </c>
      <c r="B31" s="3">
        <f t="shared" ref="B31:K31" si="4">AVERAGE(B2:B30)</f>
        <v>8.349444828</v>
      </c>
      <c r="C31" s="3">
        <f t="shared" si="4"/>
        <v>2.050206897</v>
      </c>
      <c r="D31" s="3">
        <f t="shared" si="4"/>
        <v>2.240793103</v>
      </c>
      <c r="E31" s="3">
        <f t="shared" si="4"/>
        <v>1.595344828</v>
      </c>
      <c r="F31" s="3">
        <f t="shared" si="4"/>
        <v>0.3561034483</v>
      </c>
      <c r="G31" s="3">
        <f t="shared" si="4"/>
        <v>0.933862069</v>
      </c>
      <c r="H31" s="3">
        <f t="shared" si="4"/>
        <v>0.4065517241</v>
      </c>
      <c r="I31" s="3">
        <f t="shared" si="4"/>
        <v>4.291</v>
      </c>
      <c r="J31" s="3">
        <f t="shared" si="4"/>
        <v>1.940759526</v>
      </c>
      <c r="K31" s="3">
        <f t="shared" si="4"/>
        <v>0.3844410107</v>
      </c>
    </row>
    <row r="32" ht="15.75" customHeight="1">
      <c r="A32" s="2" t="s">
        <v>12</v>
      </c>
      <c r="B32" s="3">
        <f t="shared" ref="B32:K32" si="5">STDEV(B2:B30)</f>
        <v>2.159976575</v>
      </c>
      <c r="C32" s="3">
        <f t="shared" si="5"/>
        <v>0.300816078</v>
      </c>
      <c r="D32" s="3">
        <f t="shared" si="5"/>
        <v>0.2586284399</v>
      </c>
      <c r="E32" s="3">
        <f t="shared" si="5"/>
        <v>0.3012262173</v>
      </c>
      <c r="F32" s="3">
        <f t="shared" si="5"/>
        <v>0.07291891036</v>
      </c>
      <c r="G32" s="3">
        <f t="shared" si="5"/>
        <v>0.1542548272</v>
      </c>
      <c r="H32" s="3">
        <f t="shared" si="5"/>
        <v>0.08592878538</v>
      </c>
      <c r="I32" s="3">
        <f t="shared" si="5"/>
        <v>0.5143065373</v>
      </c>
      <c r="J32" s="3">
        <f t="shared" si="5"/>
        <v>0.4682738253</v>
      </c>
      <c r="K32" s="3">
        <f t="shared" si="5"/>
        <v>0.06817011546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8.006</v>
      </c>
      <c r="C2" s="3">
        <v>0.838</v>
      </c>
      <c r="D2" s="3">
        <v>2.172</v>
      </c>
      <c r="E2" s="3">
        <v>1.013</v>
      </c>
      <c r="F2" s="3">
        <v>0.098</v>
      </c>
      <c r="G2" s="3">
        <v>0.322</v>
      </c>
      <c r="H2" s="3">
        <v>0.128</v>
      </c>
      <c r="I2" s="3">
        <f t="shared" ref="I2:I31" si="1">C2+D2</f>
        <v>3.01</v>
      </c>
      <c r="J2" s="3">
        <f t="shared" ref="J2:J31" si="2">B2/I2</f>
        <v>2.659800664</v>
      </c>
      <c r="K2" s="3">
        <f t="shared" ref="K2:K31" si="3">F2/G2</f>
        <v>0.3043478261</v>
      </c>
    </row>
    <row r="3">
      <c r="A3" s="2">
        <v>2.0</v>
      </c>
      <c r="B3" s="3">
        <v>5.034</v>
      </c>
      <c r="C3" s="3">
        <v>0.866</v>
      </c>
      <c r="D3" s="3">
        <v>1.959</v>
      </c>
      <c r="E3" s="3">
        <v>0.688</v>
      </c>
      <c r="F3" s="3">
        <v>0.168</v>
      </c>
      <c r="G3" s="3">
        <v>0.4</v>
      </c>
      <c r="H3" s="3">
        <v>0.103</v>
      </c>
      <c r="I3" s="3">
        <f t="shared" si="1"/>
        <v>2.825</v>
      </c>
      <c r="J3" s="3">
        <f t="shared" si="2"/>
        <v>1.781946903</v>
      </c>
      <c r="K3" s="3">
        <f t="shared" si="3"/>
        <v>0.42</v>
      </c>
    </row>
    <row r="4">
      <c r="A4" s="2">
        <v>3.0</v>
      </c>
      <c r="B4" s="3">
        <v>7.316</v>
      </c>
      <c r="C4" s="3">
        <v>0.817</v>
      </c>
      <c r="D4" s="3">
        <v>2.245</v>
      </c>
      <c r="E4" s="3">
        <v>0.9</v>
      </c>
      <c r="F4" s="3">
        <v>0.181</v>
      </c>
      <c r="G4" s="3">
        <v>0.514</v>
      </c>
      <c r="H4" s="3">
        <v>0.156</v>
      </c>
      <c r="I4" s="3">
        <f t="shared" si="1"/>
        <v>3.062</v>
      </c>
      <c r="J4" s="3">
        <f t="shared" si="2"/>
        <v>2.389288047</v>
      </c>
      <c r="K4" s="3">
        <f t="shared" si="3"/>
        <v>0.3521400778</v>
      </c>
    </row>
    <row r="5">
      <c r="A5" s="2">
        <v>4.0</v>
      </c>
      <c r="B5" s="3">
        <v>6.79</v>
      </c>
      <c r="C5" s="3">
        <v>0.911</v>
      </c>
      <c r="D5" s="3">
        <v>2.093</v>
      </c>
      <c r="E5" s="3">
        <v>1.113</v>
      </c>
      <c r="F5" s="3">
        <v>0.216</v>
      </c>
      <c r="G5" s="3">
        <v>0.564</v>
      </c>
      <c r="H5" s="3">
        <v>0.136</v>
      </c>
      <c r="I5" s="3">
        <f t="shared" si="1"/>
        <v>3.004</v>
      </c>
      <c r="J5" s="3">
        <f t="shared" si="2"/>
        <v>2.260319574</v>
      </c>
      <c r="K5" s="3">
        <f t="shared" si="3"/>
        <v>0.3829787234</v>
      </c>
    </row>
    <row r="6">
      <c r="A6" s="2">
        <v>5.0</v>
      </c>
      <c r="B6" s="3">
        <v>7.126</v>
      </c>
      <c r="C6" s="3">
        <v>0.786</v>
      </c>
      <c r="D6" s="3">
        <v>2.179</v>
      </c>
      <c r="E6" s="3">
        <v>0.855</v>
      </c>
      <c r="F6" s="3">
        <v>0.218</v>
      </c>
      <c r="G6" s="3">
        <v>0.47</v>
      </c>
      <c r="H6" s="3">
        <v>0.109</v>
      </c>
      <c r="I6" s="3">
        <f t="shared" si="1"/>
        <v>2.965</v>
      </c>
      <c r="J6" s="3">
        <f t="shared" si="2"/>
        <v>2.403372681</v>
      </c>
      <c r="K6" s="3">
        <f t="shared" si="3"/>
        <v>0.4638297872</v>
      </c>
    </row>
    <row r="7">
      <c r="A7" s="2">
        <v>6.0</v>
      </c>
      <c r="B7" s="3">
        <v>8.546</v>
      </c>
      <c r="C7" s="3">
        <v>0.692</v>
      </c>
      <c r="D7" s="3">
        <v>2.248</v>
      </c>
      <c r="E7" s="3">
        <v>0.975</v>
      </c>
      <c r="F7" s="3">
        <v>0.225</v>
      </c>
      <c r="G7" s="3">
        <v>0.482</v>
      </c>
      <c r="H7" s="3">
        <v>0.126</v>
      </c>
      <c r="I7" s="3">
        <f t="shared" si="1"/>
        <v>2.94</v>
      </c>
      <c r="J7" s="3">
        <f t="shared" si="2"/>
        <v>2.906802721</v>
      </c>
      <c r="K7" s="3">
        <f t="shared" si="3"/>
        <v>0.4668049793</v>
      </c>
    </row>
    <row r="8">
      <c r="A8" s="2">
        <v>7.0</v>
      </c>
      <c r="B8" s="3">
        <v>7.621</v>
      </c>
      <c r="C8" s="3">
        <v>0.827</v>
      </c>
      <c r="D8" s="3">
        <v>2.117</v>
      </c>
      <c r="E8" s="3">
        <v>0.903</v>
      </c>
      <c r="F8" s="3">
        <v>0.139</v>
      </c>
      <c r="G8" s="3">
        <v>0.419</v>
      </c>
      <c r="H8" s="3">
        <v>0.138</v>
      </c>
      <c r="I8" s="3">
        <f t="shared" si="1"/>
        <v>2.944</v>
      </c>
      <c r="J8" s="3">
        <f t="shared" si="2"/>
        <v>2.588654891</v>
      </c>
      <c r="K8" s="3">
        <f t="shared" si="3"/>
        <v>0.3317422434</v>
      </c>
    </row>
    <row r="9">
      <c r="A9" s="2">
        <v>8.0</v>
      </c>
      <c r="B9" s="3">
        <v>6.594</v>
      </c>
      <c r="C9" s="3">
        <v>0.881</v>
      </c>
      <c r="D9" s="3">
        <v>2.209</v>
      </c>
      <c r="E9" s="3">
        <v>0.968</v>
      </c>
      <c r="F9" s="3">
        <v>0.246</v>
      </c>
      <c r="G9" s="3">
        <v>0.496</v>
      </c>
      <c r="H9" s="3">
        <v>0.153</v>
      </c>
      <c r="I9" s="3">
        <f t="shared" si="1"/>
        <v>3.09</v>
      </c>
      <c r="J9" s="3">
        <f t="shared" si="2"/>
        <v>2.133980583</v>
      </c>
      <c r="K9" s="3">
        <f t="shared" si="3"/>
        <v>0.4959677419</v>
      </c>
    </row>
    <row r="10">
      <c r="A10" s="2">
        <v>9.0</v>
      </c>
      <c r="B10" s="3">
        <v>4.997</v>
      </c>
      <c r="C10" s="3">
        <v>0.771</v>
      </c>
      <c r="D10" s="3">
        <v>1.733</v>
      </c>
      <c r="E10" s="3">
        <v>0.714</v>
      </c>
      <c r="F10" s="3">
        <v>0.173</v>
      </c>
      <c r="G10" s="3">
        <v>0.49</v>
      </c>
      <c r="H10" s="3">
        <v>0.116</v>
      </c>
      <c r="I10" s="3">
        <f t="shared" si="1"/>
        <v>2.504</v>
      </c>
      <c r="J10" s="3">
        <f t="shared" si="2"/>
        <v>1.995607029</v>
      </c>
      <c r="K10" s="3">
        <f t="shared" si="3"/>
        <v>0.3530612245</v>
      </c>
    </row>
    <row r="11">
      <c r="A11" s="2">
        <v>10.0</v>
      </c>
      <c r="B11" s="4">
        <v>7.632</v>
      </c>
      <c r="C11" s="4">
        <v>0.827</v>
      </c>
      <c r="D11" s="4">
        <v>2.028</v>
      </c>
      <c r="E11" s="4">
        <v>1.164</v>
      </c>
      <c r="F11" s="4">
        <v>0.197</v>
      </c>
      <c r="G11" s="4">
        <v>0.523</v>
      </c>
      <c r="H11" s="4">
        <v>0.134</v>
      </c>
      <c r="I11" s="3">
        <f t="shared" si="1"/>
        <v>2.855</v>
      </c>
      <c r="J11" s="3">
        <f t="shared" si="2"/>
        <v>2.673204904</v>
      </c>
      <c r="K11" s="3">
        <f t="shared" si="3"/>
        <v>0.3766730402</v>
      </c>
    </row>
    <row r="12">
      <c r="A12" s="2">
        <v>11.0</v>
      </c>
      <c r="B12" s="4">
        <v>6.176</v>
      </c>
      <c r="C12" s="4">
        <v>0.723</v>
      </c>
      <c r="D12" s="4">
        <v>2.016</v>
      </c>
      <c r="E12" s="4">
        <v>0.826</v>
      </c>
      <c r="F12" s="4">
        <v>0.208</v>
      </c>
      <c r="G12" s="4">
        <v>0.591</v>
      </c>
      <c r="H12" s="4">
        <v>0.104</v>
      </c>
      <c r="I12" s="3">
        <f t="shared" si="1"/>
        <v>2.739</v>
      </c>
      <c r="J12" s="3">
        <f t="shared" si="2"/>
        <v>2.254837532</v>
      </c>
      <c r="K12" s="3">
        <f t="shared" si="3"/>
        <v>0.3519458545</v>
      </c>
    </row>
    <row r="13">
      <c r="A13" s="2">
        <v>12.0</v>
      </c>
      <c r="B13" s="4">
        <v>8.336</v>
      </c>
      <c r="C13" s="4">
        <v>0.836</v>
      </c>
      <c r="D13" s="4">
        <v>2.203</v>
      </c>
      <c r="E13" s="4">
        <v>1.036</v>
      </c>
      <c r="F13" s="4">
        <v>0.186</v>
      </c>
      <c r="G13" s="4">
        <v>0.412</v>
      </c>
      <c r="H13" s="4">
        <v>0.166</v>
      </c>
      <c r="I13" s="3">
        <f t="shared" si="1"/>
        <v>3.039</v>
      </c>
      <c r="J13" s="3">
        <f t="shared" si="2"/>
        <v>2.743007568</v>
      </c>
      <c r="K13" s="3">
        <f t="shared" si="3"/>
        <v>0.4514563107</v>
      </c>
    </row>
    <row r="14">
      <c r="A14" s="2">
        <v>13.0</v>
      </c>
      <c r="B14" s="4">
        <v>8.06</v>
      </c>
      <c r="C14" s="4">
        <v>0.762</v>
      </c>
      <c r="D14" s="4">
        <v>2.234</v>
      </c>
      <c r="E14" s="4">
        <v>1.049</v>
      </c>
      <c r="F14" s="4">
        <v>0.225</v>
      </c>
      <c r="G14" s="4">
        <v>0.505</v>
      </c>
      <c r="H14" s="4">
        <v>0.11</v>
      </c>
      <c r="I14" s="3">
        <f t="shared" si="1"/>
        <v>2.996</v>
      </c>
      <c r="J14" s="3">
        <f t="shared" si="2"/>
        <v>2.690253672</v>
      </c>
      <c r="K14" s="3">
        <f t="shared" si="3"/>
        <v>0.4455445545</v>
      </c>
    </row>
    <row r="15">
      <c r="A15" s="2">
        <v>14.0</v>
      </c>
      <c r="B15" s="4">
        <v>7.191</v>
      </c>
      <c r="C15" s="4">
        <v>0.71</v>
      </c>
      <c r="D15" s="4">
        <v>2.24</v>
      </c>
      <c r="E15" s="4">
        <v>0.83</v>
      </c>
      <c r="F15" s="4">
        <v>0.122</v>
      </c>
      <c r="G15" s="4">
        <v>0.504</v>
      </c>
      <c r="H15" s="4">
        <v>0.156</v>
      </c>
      <c r="I15" s="3">
        <f t="shared" si="1"/>
        <v>2.95</v>
      </c>
      <c r="J15" s="3">
        <f t="shared" si="2"/>
        <v>2.437627119</v>
      </c>
      <c r="K15" s="3">
        <f t="shared" si="3"/>
        <v>0.2420634921</v>
      </c>
    </row>
    <row r="16">
      <c r="A16" s="2">
        <v>15.0</v>
      </c>
      <c r="B16" s="4">
        <v>7.184</v>
      </c>
      <c r="C16" s="4">
        <v>0.681</v>
      </c>
      <c r="D16" s="4">
        <v>2.147</v>
      </c>
      <c r="E16" s="4">
        <v>0.864</v>
      </c>
      <c r="F16" s="4">
        <v>0.15</v>
      </c>
      <c r="G16" s="4">
        <v>0.522</v>
      </c>
      <c r="H16" s="4">
        <v>0.138</v>
      </c>
      <c r="I16" s="3">
        <f t="shared" si="1"/>
        <v>2.828</v>
      </c>
      <c r="J16" s="3">
        <f t="shared" si="2"/>
        <v>2.540311174</v>
      </c>
      <c r="K16" s="3">
        <f t="shared" si="3"/>
        <v>0.2873563218</v>
      </c>
    </row>
    <row r="17">
      <c r="A17" s="2">
        <v>16.0</v>
      </c>
      <c r="B17" s="4">
        <v>7.144</v>
      </c>
      <c r="C17" s="4">
        <v>0.842</v>
      </c>
      <c r="D17" s="4">
        <v>2.171</v>
      </c>
      <c r="E17" s="4">
        <v>0.905</v>
      </c>
      <c r="F17" s="4">
        <v>0.116</v>
      </c>
      <c r="G17" s="4">
        <v>0.388</v>
      </c>
      <c r="H17" s="4">
        <v>0.116</v>
      </c>
      <c r="I17" s="3">
        <f t="shared" si="1"/>
        <v>3.013</v>
      </c>
      <c r="J17" s="3">
        <f t="shared" si="2"/>
        <v>2.371058745</v>
      </c>
      <c r="K17" s="3">
        <f t="shared" si="3"/>
        <v>0.2989690722</v>
      </c>
    </row>
    <row r="18">
      <c r="A18" s="2">
        <v>17.0</v>
      </c>
      <c r="B18" s="4">
        <v>6.199</v>
      </c>
      <c r="C18" s="4">
        <v>0.748</v>
      </c>
      <c r="D18" s="4">
        <v>2.103</v>
      </c>
      <c r="E18" s="4">
        <v>0.943</v>
      </c>
      <c r="F18" s="4">
        <v>0.185</v>
      </c>
      <c r="G18" s="4">
        <v>0.428</v>
      </c>
      <c r="H18" s="4">
        <v>0.139</v>
      </c>
      <c r="I18" s="3">
        <f t="shared" si="1"/>
        <v>2.851</v>
      </c>
      <c r="J18" s="3">
        <f t="shared" si="2"/>
        <v>2.174324798</v>
      </c>
      <c r="K18" s="3">
        <f t="shared" si="3"/>
        <v>0.4322429907</v>
      </c>
    </row>
    <row r="19">
      <c r="A19" s="2">
        <v>18.0</v>
      </c>
      <c r="B19" s="4">
        <v>5.934</v>
      </c>
      <c r="C19" s="4">
        <v>0.555</v>
      </c>
      <c r="D19" s="4">
        <v>2.013</v>
      </c>
      <c r="E19" s="4">
        <v>0.947</v>
      </c>
      <c r="F19" s="4">
        <v>0.142</v>
      </c>
      <c r="G19" s="4">
        <v>0.388</v>
      </c>
      <c r="H19" s="4">
        <v>0.136</v>
      </c>
      <c r="I19" s="3">
        <f t="shared" si="1"/>
        <v>2.568</v>
      </c>
      <c r="J19" s="3">
        <f t="shared" si="2"/>
        <v>2.310747664</v>
      </c>
      <c r="K19" s="3">
        <f t="shared" si="3"/>
        <v>0.3659793814</v>
      </c>
    </row>
    <row r="20">
      <c r="A20" s="2">
        <v>19.0</v>
      </c>
      <c r="B20" s="4">
        <v>7.877</v>
      </c>
      <c r="C20" s="4">
        <v>0.756</v>
      </c>
      <c r="D20" s="4">
        <v>2.041</v>
      </c>
      <c r="E20" s="4">
        <v>1.035</v>
      </c>
      <c r="F20" s="4">
        <v>0.18</v>
      </c>
      <c r="G20" s="4">
        <v>0.477</v>
      </c>
      <c r="H20" s="4">
        <v>0.166</v>
      </c>
      <c r="I20" s="3">
        <f t="shared" si="1"/>
        <v>2.797</v>
      </c>
      <c r="J20" s="3">
        <f t="shared" si="2"/>
        <v>2.816231677</v>
      </c>
      <c r="K20" s="3">
        <f t="shared" si="3"/>
        <v>0.3773584906</v>
      </c>
    </row>
    <row r="21" ht="15.75" customHeight="1">
      <c r="A21" s="2">
        <v>20.0</v>
      </c>
      <c r="B21" s="4">
        <v>7.718</v>
      </c>
      <c r="C21" s="4">
        <v>0.778</v>
      </c>
      <c r="D21" s="4">
        <v>2.131</v>
      </c>
      <c r="E21" s="4">
        <v>0.929</v>
      </c>
      <c r="F21" s="4">
        <v>0.181</v>
      </c>
      <c r="G21" s="4">
        <v>0.542</v>
      </c>
      <c r="H21" s="4">
        <v>0.141</v>
      </c>
      <c r="I21" s="3">
        <f t="shared" si="1"/>
        <v>2.909</v>
      </c>
      <c r="J21" s="3">
        <f t="shared" si="2"/>
        <v>2.653145411</v>
      </c>
      <c r="K21" s="3">
        <f t="shared" si="3"/>
        <v>0.3339483395</v>
      </c>
    </row>
    <row r="22" ht="15.75" customHeight="1">
      <c r="A22" s="2">
        <v>21.0</v>
      </c>
      <c r="B22" s="4">
        <v>7.447</v>
      </c>
      <c r="C22" s="4">
        <v>0.904</v>
      </c>
      <c r="D22" s="4">
        <v>1.9678</v>
      </c>
      <c r="E22" s="4">
        <v>1.139</v>
      </c>
      <c r="F22" s="4">
        <v>0.132</v>
      </c>
      <c r="G22" s="4">
        <v>0.377</v>
      </c>
      <c r="H22" s="4">
        <v>0.141</v>
      </c>
      <c r="I22" s="3">
        <f t="shared" si="1"/>
        <v>2.8718</v>
      </c>
      <c r="J22" s="3">
        <f t="shared" si="2"/>
        <v>2.593147155</v>
      </c>
      <c r="K22" s="3">
        <f t="shared" si="3"/>
        <v>0.350132626</v>
      </c>
    </row>
    <row r="23" ht="15.75" customHeight="1">
      <c r="A23" s="2">
        <v>22.0</v>
      </c>
      <c r="B23" s="4">
        <v>6.177</v>
      </c>
      <c r="C23" s="4">
        <v>0.737</v>
      </c>
      <c r="D23" s="4">
        <v>1.949</v>
      </c>
      <c r="E23" s="4">
        <v>0.859</v>
      </c>
      <c r="F23" s="4">
        <v>0.266</v>
      </c>
      <c r="G23" s="4">
        <v>0.543</v>
      </c>
      <c r="H23" s="4">
        <v>0.118</v>
      </c>
      <c r="I23" s="3">
        <f t="shared" si="1"/>
        <v>2.686</v>
      </c>
      <c r="J23" s="3">
        <f t="shared" si="2"/>
        <v>2.299702159</v>
      </c>
      <c r="K23" s="3">
        <f t="shared" si="3"/>
        <v>0.4898710866</v>
      </c>
    </row>
    <row r="24" ht="15.75" customHeight="1">
      <c r="A24" s="2">
        <v>23.0</v>
      </c>
      <c r="B24" s="4">
        <v>7.886</v>
      </c>
      <c r="C24" s="4">
        <v>0.754</v>
      </c>
      <c r="D24" s="4">
        <v>2.188</v>
      </c>
      <c r="E24" s="4">
        <v>0.743</v>
      </c>
      <c r="F24" s="4">
        <v>0.141</v>
      </c>
      <c r="G24" s="4">
        <v>0.444</v>
      </c>
      <c r="H24" s="4">
        <v>0.132</v>
      </c>
      <c r="I24" s="3">
        <f t="shared" si="1"/>
        <v>2.942</v>
      </c>
      <c r="J24" s="3">
        <f t="shared" si="2"/>
        <v>2.680489463</v>
      </c>
      <c r="K24" s="3">
        <f t="shared" si="3"/>
        <v>0.3175675676</v>
      </c>
    </row>
    <row r="25" ht="15.75" customHeight="1">
      <c r="A25" s="2">
        <v>24.0</v>
      </c>
      <c r="B25" s="4">
        <v>6.753</v>
      </c>
      <c r="C25" s="4">
        <v>0.769</v>
      </c>
      <c r="D25" s="4">
        <v>2.044</v>
      </c>
      <c r="E25" s="4">
        <v>0.98</v>
      </c>
      <c r="F25" s="4">
        <v>0.155</v>
      </c>
      <c r="G25" s="4">
        <v>0.356</v>
      </c>
      <c r="H25" s="4">
        <v>0.129</v>
      </c>
      <c r="I25" s="3">
        <f t="shared" si="1"/>
        <v>2.813</v>
      </c>
      <c r="J25" s="3">
        <f t="shared" si="2"/>
        <v>2.400639886</v>
      </c>
      <c r="K25" s="3">
        <f t="shared" si="3"/>
        <v>0.4353932584</v>
      </c>
    </row>
    <row r="26" ht="15.75" customHeight="1">
      <c r="A26" s="2">
        <v>25.0</v>
      </c>
      <c r="B26" s="4">
        <v>6.515</v>
      </c>
      <c r="C26" s="4">
        <v>0.912</v>
      </c>
      <c r="D26" s="4">
        <v>1.997</v>
      </c>
      <c r="E26" s="4">
        <v>0.968</v>
      </c>
      <c r="F26" s="4">
        <v>0.14</v>
      </c>
      <c r="G26" s="4">
        <v>0.473</v>
      </c>
      <c r="H26" s="4">
        <v>0.173</v>
      </c>
      <c r="I26" s="3">
        <f t="shared" si="1"/>
        <v>2.909</v>
      </c>
      <c r="J26" s="3">
        <f t="shared" si="2"/>
        <v>2.239601238</v>
      </c>
      <c r="K26" s="3">
        <f t="shared" si="3"/>
        <v>0.2959830867</v>
      </c>
    </row>
    <row r="27" ht="15.75" customHeight="1">
      <c r="A27" s="2">
        <v>26.0</v>
      </c>
      <c r="B27" s="4">
        <v>7.208</v>
      </c>
      <c r="C27" s="4">
        <v>0.794</v>
      </c>
      <c r="D27" s="4">
        <v>2.004</v>
      </c>
      <c r="E27" s="4">
        <v>0.909</v>
      </c>
      <c r="F27" s="4">
        <v>0.162</v>
      </c>
      <c r="G27" s="4">
        <v>0.338</v>
      </c>
      <c r="H27" s="4">
        <v>0.128</v>
      </c>
      <c r="I27" s="3">
        <f t="shared" si="1"/>
        <v>2.798</v>
      </c>
      <c r="J27" s="3">
        <f t="shared" si="2"/>
        <v>2.576125804</v>
      </c>
      <c r="K27" s="3">
        <f t="shared" si="3"/>
        <v>0.4792899408</v>
      </c>
    </row>
    <row r="28" ht="15.75" customHeight="1">
      <c r="A28" s="2">
        <v>27.0</v>
      </c>
      <c r="B28" s="4">
        <v>6.486</v>
      </c>
      <c r="C28" s="4">
        <v>0.637</v>
      </c>
      <c r="D28" s="4">
        <v>1.903</v>
      </c>
      <c r="E28" s="4">
        <v>0.699</v>
      </c>
      <c r="F28" s="4">
        <v>0.127</v>
      </c>
      <c r="G28" s="4">
        <v>0.325</v>
      </c>
      <c r="H28" s="4">
        <v>0.106</v>
      </c>
      <c r="I28" s="3">
        <f t="shared" si="1"/>
        <v>2.54</v>
      </c>
      <c r="J28" s="3">
        <f t="shared" si="2"/>
        <v>2.553543307</v>
      </c>
      <c r="K28" s="3">
        <f t="shared" si="3"/>
        <v>0.3907692308</v>
      </c>
    </row>
    <row r="29" ht="15.75" customHeight="1">
      <c r="A29" s="2">
        <v>28.0</v>
      </c>
      <c r="B29" s="4">
        <v>6.712</v>
      </c>
      <c r="C29" s="4">
        <v>0.661</v>
      </c>
      <c r="D29" s="4">
        <v>2.186</v>
      </c>
      <c r="E29" s="4">
        <v>1.183</v>
      </c>
      <c r="F29" s="4">
        <v>0.227</v>
      </c>
      <c r="G29" s="4">
        <v>0.63</v>
      </c>
      <c r="H29" s="4">
        <v>0.134</v>
      </c>
      <c r="I29" s="3">
        <f t="shared" si="1"/>
        <v>2.847</v>
      </c>
      <c r="J29" s="3">
        <f t="shared" si="2"/>
        <v>2.357569371</v>
      </c>
      <c r="K29" s="3">
        <f t="shared" si="3"/>
        <v>0.3603174603</v>
      </c>
    </row>
    <row r="30" ht="15.75" customHeight="1">
      <c r="A30" s="2">
        <v>29.0</v>
      </c>
      <c r="B30" s="4">
        <v>7.334</v>
      </c>
      <c r="C30" s="4">
        <v>0.898</v>
      </c>
      <c r="D30" s="4">
        <v>2.258</v>
      </c>
      <c r="E30" s="4">
        <v>0.838</v>
      </c>
      <c r="F30" s="4">
        <v>0.162</v>
      </c>
      <c r="G30" s="4">
        <v>0.353</v>
      </c>
      <c r="H30" s="4">
        <v>0.116</v>
      </c>
      <c r="I30" s="3">
        <f t="shared" si="1"/>
        <v>3.156</v>
      </c>
      <c r="J30" s="3">
        <f t="shared" si="2"/>
        <v>2.32382763</v>
      </c>
      <c r="K30" s="3">
        <f t="shared" si="3"/>
        <v>0.4589235127</v>
      </c>
    </row>
    <row r="31" ht="15.75" customHeight="1">
      <c r="A31" s="2">
        <v>30.0</v>
      </c>
      <c r="B31" s="4">
        <v>7.417</v>
      </c>
      <c r="C31" s="4">
        <v>0.737</v>
      </c>
      <c r="D31" s="4">
        <v>2.081</v>
      </c>
      <c r="E31" s="4">
        <v>0.952</v>
      </c>
      <c r="F31" s="4">
        <v>0.181</v>
      </c>
      <c r="G31" s="4">
        <v>0.51</v>
      </c>
      <c r="H31" s="4">
        <v>0.165</v>
      </c>
      <c r="I31" s="3">
        <f t="shared" si="1"/>
        <v>2.818</v>
      </c>
      <c r="J31" s="3">
        <f t="shared" si="2"/>
        <v>2.632008517</v>
      </c>
      <c r="K31" s="3">
        <f t="shared" si="3"/>
        <v>0.3549019608</v>
      </c>
    </row>
    <row r="32" ht="15.75" customHeight="1">
      <c r="A32" s="2" t="s">
        <v>11</v>
      </c>
      <c r="B32" s="3">
        <f t="shared" ref="B32:K32" si="4">AVERAGE(B2:B31)</f>
        <v>7.0472</v>
      </c>
      <c r="C32" s="3">
        <f t="shared" si="4"/>
        <v>0.7803333333</v>
      </c>
      <c r="D32" s="3">
        <f t="shared" si="4"/>
        <v>2.095326667</v>
      </c>
      <c r="E32" s="3">
        <f t="shared" si="4"/>
        <v>0.9309</v>
      </c>
      <c r="F32" s="3">
        <f t="shared" si="4"/>
        <v>0.1749666667</v>
      </c>
      <c r="G32" s="3">
        <f t="shared" si="4"/>
        <v>0.4595333333</v>
      </c>
      <c r="H32" s="3">
        <f t="shared" si="4"/>
        <v>0.1337666667</v>
      </c>
      <c r="I32" s="3">
        <f t="shared" si="4"/>
        <v>2.87566</v>
      </c>
      <c r="J32" s="3">
        <f t="shared" si="4"/>
        <v>2.448039263</v>
      </c>
      <c r="K32" s="3">
        <f t="shared" si="4"/>
        <v>0.3822520061</v>
      </c>
    </row>
    <row r="33" ht="15.75" customHeight="1">
      <c r="A33" s="2" t="s">
        <v>12</v>
      </c>
      <c r="B33" s="3">
        <f t="shared" ref="B33:K33" si="5">STDEV(B2:B31)</f>
        <v>0.8649812994</v>
      </c>
      <c r="C33" s="3">
        <f t="shared" si="5"/>
        <v>0.08615836795</v>
      </c>
      <c r="D33" s="3">
        <f t="shared" si="5"/>
        <v>0.1235503023</v>
      </c>
      <c r="E33" s="3">
        <f t="shared" si="5"/>
        <v>0.1297377594</v>
      </c>
      <c r="F33" s="3">
        <f t="shared" si="5"/>
        <v>0.04112091785</v>
      </c>
      <c r="G33" s="3">
        <f t="shared" si="5"/>
        <v>0.08125130591</v>
      </c>
      <c r="H33" s="3">
        <f t="shared" si="5"/>
        <v>0.01970416258</v>
      </c>
      <c r="I33" s="3">
        <f t="shared" si="5"/>
        <v>0.1563614482</v>
      </c>
      <c r="J33" s="3">
        <f t="shared" si="5"/>
        <v>0.2498417042</v>
      </c>
      <c r="K33" s="3">
        <f t="shared" si="5"/>
        <v>0.06763501943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11" width="9.57"/>
    <col customWidth="1" min="12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5.274</v>
      </c>
      <c r="C2" s="3">
        <v>0.941</v>
      </c>
      <c r="D2" s="3">
        <v>1.99</v>
      </c>
      <c r="E2" s="3">
        <v>0.921</v>
      </c>
      <c r="F2" s="3">
        <v>0.217</v>
      </c>
      <c r="G2" s="3">
        <v>0.477</v>
      </c>
      <c r="H2" s="3">
        <v>0.12</v>
      </c>
      <c r="I2" s="3">
        <f t="shared" ref="I2:I31" si="1">C2+D2</f>
        <v>2.931</v>
      </c>
      <c r="J2" s="3">
        <f t="shared" ref="J2:J31" si="2">B2/I2</f>
        <v>1.799385875</v>
      </c>
      <c r="K2" s="3">
        <f t="shared" ref="K2:K31" si="3">F2/G2</f>
        <v>0.4549266247</v>
      </c>
    </row>
    <row r="3">
      <c r="A3" s="2">
        <v>2.0</v>
      </c>
      <c r="B3" s="3">
        <v>4.838</v>
      </c>
      <c r="C3" s="3">
        <v>0.911</v>
      </c>
      <c r="D3" s="3">
        <v>1.918</v>
      </c>
      <c r="E3" s="3">
        <v>0.909</v>
      </c>
      <c r="F3" s="3">
        <v>0.177</v>
      </c>
      <c r="G3" s="3">
        <v>0.546</v>
      </c>
      <c r="H3" s="3">
        <v>0.096</v>
      </c>
      <c r="I3" s="3">
        <f t="shared" si="1"/>
        <v>2.829</v>
      </c>
      <c r="J3" s="3">
        <f t="shared" si="2"/>
        <v>1.710144928</v>
      </c>
      <c r="K3" s="3">
        <f t="shared" si="3"/>
        <v>0.3241758242</v>
      </c>
    </row>
    <row r="4">
      <c r="A4" s="2">
        <v>3.0</v>
      </c>
      <c r="B4" s="3">
        <v>5.959</v>
      </c>
      <c r="C4" s="3">
        <v>0.926</v>
      </c>
      <c r="D4" s="3">
        <v>2.001</v>
      </c>
      <c r="E4" s="3">
        <v>0.608</v>
      </c>
      <c r="F4" s="3">
        <v>0.156</v>
      </c>
      <c r="G4" s="3">
        <v>0.566</v>
      </c>
      <c r="H4" s="3">
        <v>0.122</v>
      </c>
      <c r="I4" s="3">
        <f t="shared" si="1"/>
        <v>2.927</v>
      </c>
      <c r="J4" s="3">
        <f t="shared" si="2"/>
        <v>2.035872907</v>
      </c>
      <c r="K4" s="3">
        <f t="shared" si="3"/>
        <v>0.2756183746</v>
      </c>
    </row>
    <row r="5">
      <c r="A5" s="2">
        <v>4.0</v>
      </c>
      <c r="B5" s="3">
        <v>6.418</v>
      </c>
      <c r="C5" s="3">
        <v>0.975</v>
      </c>
      <c r="D5" s="3">
        <v>2.381</v>
      </c>
      <c r="E5" s="3">
        <v>0.113</v>
      </c>
      <c r="F5" s="3">
        <v>0.127</v>
      </c>
      <c r="G5" s="3">
        <v>0.534</v>
      </c>
      <c r="H5" s="3">
        <v>0.098</v>
      </c>
      <c r="I5" s="3">
        <f t="shared" si="1"/>
        <v>3.356</v>
      </c>
      <c r="J5" s="3">
        <f t="shared" si="2"/>
        <v>1.912395709</v>
      </c>
      <c r="K5" s="3">
        <f t="shared" si="3"/>
        <v>0.2378277154</v>
      </c>
    </row>
    <row r="6">
      <c r="A6" s="2">
        <v>5.0</v>
      </c>
      <c r="B6" s="3">
        <v>6.71</v>
      </c>
      <c r="C6" s="3">
        <v>0.915</v>
      </c>
      <c r="D6" s="3">
        <v>2.111</v>
      </c>
      <c r="E6" s="3">
        <v>1.181</v>
      </c>
      <c r="F6" s="3">
        <v>0.175</v>
      </c>
      <c r="G6" s="3">
        <v>0.744</v>
      </c>
      <c r="H6" s="3">
        <v>0.129</v>
      </c>
      <c r="I6" s="3">
        <f t="shared" si="1"/>
        <v>3.026</v>
      </c>
      <c r="J6" s="3">
        <f t="shared" si="2"/>
        <v>2.217448777</v>
      </c>
      <c r="K6" s="3">
        <f t="shared" si="3"/>
        <v>0.2352150538</v>
      </c>
    </row>
    <row r="7">
      <c r="A7" s="2">
        <v>6.0</v>
      </c>
      <c r="B7" s="3">
        <v>6.098</v>
      </c>
      <c r="C7" s="3">
        <v>1.192</v>
      </c>
      <c r="D7" s="3">
        <v>2.005</v>
      </c>
      <c r="E7" s="3">
        <v>1.301</v>
      </c>
      <c r="F7" s="3">
        <v>0.262</v>
      </c>
      <c r="G7" s="3">
        <v>0.581</v>
      </c>
      <c r="H7" s="3">
        <v>0.145</v>
      </c>
      <c r="I7" s="3">
        <f t="shared" si="1"/>
        <v>3.197</v>
      </c>
      <c r="J7" s="3">
        <f t="shared" si="2"/>
        <v>1.9074132</v>
      </c>
      <c r="K7" s="3">
        <f t="shared" si="3"/>
        <v>0.4509466437</v>
      </c>
    </row>
    <row r="8">
      <c r="A8" s="2">
        <v>7.0</v>
      </c>
      <c r="B8" s="3">
        <v>6.317</v>
      </c>
      <c r="C8" s="3">
        <v>0.718</v>
      </c>
      <c r="D8" s="3">
        <v>2.394</v>
      </c>
      <c r="E8" s="3">
        <v>0.825</v>
      </c>
      <c r="F8" s="3">
        <v>0.255</v>
      </c>
      <c r="G8" s="3">
        <v>0.598</v>
      </c>
      <c r="H8" s="3">
        <v>0.16</v>
      </c>
      <c r="I8" s="3">
        <f t="shared" si="1"/>
        <v>3.112</v>
      </c>
      <c r="J8" s="3">
        <f t="shared" si="2"/>
        <v>2.029884319</v>
      </c>
      <c r="K8" s="3">
        <f t="shared" si="3"/>
        <v>0.4264214047</v>
      </c>
    </row>
    <row r="9">
      <c r="A9" s="2">
        <v>8.0</v>
      </c>
      <c r="B9" s="3">
        <v>7.879</v>
      </c>
      <c r="C9" s="3">
        <v>0.99</v>
      </c>
      <c r="D9" s="3">
        <v>2.183</v>
      </c>
      <c r="E9" s="3">
        <v>1.235</v>
      </c>
      <c r="F9" s="3">
        <v>0.227</v>
      </c>
      <c r="G9" s="3">
        <v>0.537</v>
      </c>
      <c r="H9" s="3">
        <v>0.117</v>
      </c>
      <c r="I9" s="3">
        <f t="shared" si="1"/>
        <v>3.173</v>
      </c>
      <c r="J9" s="3">
        <f t="shared" si="2"/>
        <v>2.483138985</v>
      </c>
      <c r="K9" s="3">
        <f t="shared" si="3"/>
        <v>0.4227188082</v>
      </c>
    </row>
    <row r="10">
      <c r="A10" s="2">
        <v>9.0</v>
      </c>
      <c r="B10" s="3">
        <v>5.476</v>
      </c>
      <c r="C10" s="3">
        <v>1.072</v>
      </c>
      <c r="D10" s="3">
        <v>2.354</v>
      </c>
      <c r="E10" s="3">
        <v>1.028</v>
      </c>
      <c r="F10" s="3">
        <v>0.242</v>
      </c>
      <c r="G10" s="3">
        <v>0.555</v>
      </c>
      <c r="H10" s="3">
        <v>0.136</v>
      </c>
      <c r="I10" s="3">
        <f t="shared" si="1"/>
        <v>3.426</v>
      </c>
      <c r="J10" s="3">
        <f t="shared" si="2"/>
        <v>1.598365441</v>
      </c>
      <c r="K10" s="3">
        <f t="shared" si="3"/>
        <v>0.436036036</v>
      </c>
    </row>
    <row r="11">
      <c r="A11" s="2">
        <v>10.0</v>
      </c>
      <c r="B11" s="3">
        <v>6.575</v>
      </c>
      <c r="C11" s="3">
        <v>1.049</v>
      </c>
      <c r="D11" s="3">
        <v>2.094</v>
      </c>
      <c r="E11" s="3">
        <v>0.747</v>
      </c>
      <c r="F11" s="3">
        <v>0.175</v>
      </c>
      <c r="G11" s="3">
        <v>0.507</v>
      </c>
      <c r="H11" s="3">
        <v>0.109</v>
      </c>
      <c r="I11" s="3">
        <f t="shared" si="1"/>
        <v>3.143</v>
      </c>
      <c r="J11" s="3">
        <f t="shared" si="2"/>
        <v>2.091950366</v>
      </c>
      <c r="K11" s="3">
        <f t="shared" si="3"/>
        <v>0.3451676529</v>
      </c>
    </row>
    <row r="12">
      <c r="A12" s="2">
        <v>11.0</v>
      </c>
      <c r="B12" s="3">
        <v>6.094</v>
      </c>
      <c r="C12" s="3">
        <v>0.682</v>
      </c>
      <c r="D12" s="3">
        <v>2.5</v>
      </c>
      <c r="E12" s="3">
        <v>1.105</v>
      </c>
      <c r="F12" s="3">
        <v>0.224</v>
      </c>
      <c r="G12" s="3">
        <v>0.502</v>
      </c>
      <c r="H12" s="3">
        <v>0.092</v>
      </c>
      <c r="I12" s="3">
        <f t="shared" si="1"/>
        <v>3.182</v>
      </c>
      <c r="J12" s="3">
        <f t="shared" si="2"/>
        <v>1.915147706</v>
      </c>
      <c r="K12" s="3">
        <f t="shared" si="3"/>
        <v>0.4462151394</v>
      </c>
    </row>
    <row r="13">
      <c r="A13" s="2">
        <v>12.0</v>
      </c>
      <c r="B13" s="3">
        <v>5.266</v>
      </c>
      <c r="C13" s="3">
        <v>1.014</v>
      </c>
      <c r="D13" s="3">
        <v>2.022</v>
      </c>
      <c r="E13" s="3">
        <v>0.747</v>
      </c>
      <c r="F13" s="3">
        <v>0.198</v>
      </c>
      <c r="G13" s="3">
        <v>0.644</v>
      </c>
      <c r="H13" s="3">
        <v>0.136</v>
      </c>
      <c r="I13" s="3">
        <f t="shared" si="1"/>
        <v>3.036</v>
      </c>
      <c r="J13" s="3">
        <f t="shared" si="2"/>
        <v>1.734519104</v>
      </c>
      <c r="K13" s="3">
        <f t="shared" si="3"/>
        <v>0.3074534161</v>
      </c>
    </row>
    <row r="14">
      <c r="A14" s="2">
        <v>13.0</v>
      </c>
      <c r="B14" s="3">
        <v>5.639</v>
      </c>
      <c r="C14" s="3">
        <v>0.911</v>
      </c>
      <c r="D14" s="3">
        <v>2.02</v>
      </c>
      <c r="E14" s="3">
        <v>0.981</v>
      </c>
      <c r="F14" s="3">
        <v>0.192</v>
      </c>
      <c r="G14" s="3">
        <v>0.628</v>
      </c>
      <c r="H14" s="3">
        <v>0.135</v>
      </c>
      <c r="I14" s="3">
        <f t="shared" si="1"/>
        <v>2.931</v>
      </c>
      <c r="J14" s="3">
        <f t="shared" si="2"/>
        <v>1.923916752</v>
      </c>
      <c r="K14" s="3">
        <f t="shared" si="3"/>
        <v>0.3057324841</v>
      </c>
    </row>
    <row r="15">
      <c r="A15" s="2">
        <v>14.0</v>
      </c>
      <c r="B15" s="3">
        <v>5.627</v>
      </c>
      <c r="C15" s="3">
        <v>0.956</v>
      </c>
      <c r="D15" s="3">
        <v>2.237</v>
      </c>
      <c r="E15" s="3">
        <v>0.857</v>
      </c>
      <c r="F15" s="3">
        <v>0.21</v>
      </c>
      <c r="G15" s="3">
        <v>0.459</v>
      </c>
      <c r="H15" s="3">
        <v>0.097</v>
      </c>
      <c r="I15" s="3">
        <f t="shared" si="1"/>
        <v>3.193</v>
      </c>
      <c r="J15" s="3">
        <f t="shared" si="2"/>
        <v>1.762292515</v>
      </c>
      <c r="K15" s="3">
        <f t="shared" si="3"/>
        <v>0.4575163399</v>
      </c>
    </row>
    <row r="16">
      <c r="A16" s="2">
        <v>15.0</v>
      </c>
      <c r="B16" s="3">
        <v>4.28</v>
      </c>
      <c r="C16" s="3">
        <v>0.923</v>
      </c>
      <c r="D16" s="3">
        <v>2.222</v>
      </c>
      <c r="E16" s="3">
        <v>0.924</v>
      </c>
      <c r="F16" s="3">
        <v>0.317</v>
      </c>
      <c r="G16" s="3">
        <v>0.56</v>
      </c>
      <c r="H16" s="3">
        <v>0.104</v>
      </c>
      <c r="I16" s="3">
        <f t="shared" si="1"/>
        <v>3.145</v>
      </c>
      <c r="J16" s="3">
        <f t="shared" si="2"/>
        <v>1.360890302</v>
      </c>
      <c r="K16" s="3">
        <f t="shared" si="3"/>
        <v>0.5660714286</v>
      </c>
      <c r="L16" s="3"/>
    </row>
    <row r="17">
      <c r="A17" s="2">
        <v>16.0</v>
      </c>
      <c r="B17" s="3">
        <v>5.515</v>
      </c>
      <c r="C17" s="3">
        <v>0.743</v>
      </c>
      <c r="D17" s="3">
        <v>2.144</v>
      </c>
      <c r="E17" s="3">
        <v>0.977</v>
      </c>
      <c r="F17" s="3">
        <v>0.23</v>
      </c>
      <c r="G17" s="3">
        <v>0.561</v>
      </c>
      <c r="H17" s="3">
        <v>0.111</v>
      </c>
      <c r="I17" s="3">
        <f t="shared" si="1"/>
        <v>2.887</v>
      </c>
      <c r="J17" s="3">
        <f t="shared" si="2"/>
        <v>1.910287496</v>
      </c>
      <c r="K17" s="3">
        <f t="shared" si="3"/>
        <v>0.4099821747</v>
      </c>
    </row>
    <row r="18">
      <c r="A18" s="2">
        <v>17.0</v>
      </c>
      <c r="B18" s="3">
        <v>5.912</v>
      </c>
      <c r="C18" s="3">
        <v>1.114</v>
      </c>
      <c r="D18" s="3">
        <v>1.675</v>
      </c>
      <c r="E18" s="3">
        <v>1.006</v>
      </c>
      <c r="F18" s="3">
        <v>0.175</v>
      </c>
      <c r="G18" s="3">
        <v>0.537</v>
      </c>
      <c r="H18" s="3">
        <v>0.129</v>
      </c>
      <c r="I18" s="3">
        <f t="shared" si="1"/>
        <v>2.789</v>
      </c>
      <c r="J18" s="3">
        <f t="shared" si="2"/>
        <v>2.119756185</v>
      </c>
      <c r="K18" s="3">
        <f t="shared" si="3"/>
        <v>0.3258845438</v>
      </c>
    </row>
    <row r="19">
      <c r="A19" s="2">
        <v>18.0</v>
      </c>
      <c r="B19" s="3">
        <v>4.735</v>
      </c>
      <c r="C19" s="3">
        <v>0.794</v>
      </c>
      <c r="D19" s="3">
        <v>2.149</v>
      </c>
      <c r="E19" s="3">
        <v>0.729</v>
      </c>
      <c r="F19" s="3">
        <v>0.143</v>
      </c>
      <c r="G19" s="3">
        <v>0.413</v>
      </c>
      <c r="H19" s="3">
        <v>0.096</v>
      </c>
      <c r="I19" s="3">
        <f t="shared" si="1"/>
        <v>2.943</v>
      </c>
      <c r="J19" s="3">
        <f t="shared" si="2"/>
        <v>1.60890248</v>
      </c>
      <c r="K19" s="3">
        <f t="shared" si="3"/>
        <v>0.3462469734</v>
      </c>
    </row>
    <row r="20">
      <c r="A20" s="2">
        <v>19.0</v>
      </c>
      <c r="B20" s="3">
        <v>5.154</v>
      </c>
      <c r="C20" s="3">
        <v>0.823</v>
      </c>
      <c r="D20" s="3">
        <v>2.217</v>
      </c>
      <c r="E20" s="3">
        <v>0.657</v>
      </c>
      <c r="F20" s="3">
        <v>0.25</v>
      </c>
      <c r="G20" s="4">
        <v>0.458</v>
      </c>
      <c r="H20" s="3">
        <v>0.114</v>
      </c>
      <c r="I20" s="5">
        <f t="shared" si="1"/>
        <v>3.04</v>
      </c>
      <c r="J20" s="3">
        <f t="shared" si="2"/>
        <v>1.695394737</v>
      </c>
      <c r="K20" s="3">
        <f t="shared" si="3"/>
        <v>0.5458515284</v>
      </c>
    </row>
    <row r="21" ht="15.75" customHeight="1">
      <c r="A21" s="2">
        <v>20.0</v>
      </c>
      <c r="B21" s="3">
        <v>4.043</v>
      </c>
      <c r="C21" s="3">
        <v>1.036</v>
      </c>
      <c r="D21" s="3">
        <v>2.252</v>
      </c>
      <c r="E21" s="3">
        <v>0.63</v>
      </c>
      <c r="F21" s="3">
        <v>0.22</v>
      </c>
      <c r="G21" s="3">
        <v>0.537</v>
      </c>
      <c r="H21" s="3">
        <v>0.127</v>
      </c>
      <c r="I21" s="3">
        <f t="shared" si="1"/>
        <v>3.288</v>
      </c>
      <c r="J21" s="3">
        <f t="shared" si="2"/>
        <v>1.229622871</v>
      </c>
      <c r="K21" s="3">
        <f t="shared" si="3"/>
        <v>0.4096834264</v>
      </c>
    </row>
    <row r="22" ht="15.75" customHeight="1">
      <c r="A22" s="2">
        <v>21.0</v>
      </c>
      <c r="B22" s="3">
        <v>6.202</v>
      </c>
      <c r="C22" s="3">
        <v>1.138</v>
      </c>
      <c r="D22" s="3">
        <v>2.374</v>
      </c>
      <c r="E22" s="3">
        <v>0.823</v>
      </c>
      <c r="F22" s="3">
        <v>0.259</v>
      </c>
      <c r="G22" s="3">
        <v>0.471</v>
      </c>
      <c r="H22" s="3">
        <v>0.096</v>
      </c>
      <c r="I22" s="3">
        <f t="shared" si="1"/>
        <v>3.512</v>
      </c>
      <c r="J22" s="3">
        <f t="shared" si="2"/>
        <v>1.76594533</v>
      </c>
      <c r="K22" s="3">
        <f t="shared" si="3"/>
        <v>0.5498938429</v>
      </c>
    </row>
    <row r="23" ht="15.75" customHeight="1">
      <c r="A23" s="2">
        <v>22.0</v>
      </c>
      <c r="B23" s="3">
        <v>5.439</v>
      </c>
      <c r="C23" s="3">
        <v>0.94</v>
      </c>
      <c r="D23" s="3">
        <v>2.568</v>
      </c>
      <c r="E23" s="3">
        <v>0.824</v>
      </c>
      <c r="F23" s="3">
        <v>0.137</v>
      </c>
      <c r="G23" s="3">
        <v>0.722</v>
      </c>
      <c r="H23" s="3">
        <v>0.139</v>
      </c>
      <c r="I23" s="3">
        <f t="shared" si="1"/>
        <v>3.508</v>
      </c>
      <c r="J23" s="3">
        <f t="shared" si="2"/>
        <v>1.5504561</v>
      </c>
      <c r="K23" s="3">
        <f t="shared" si="3"/>
        <v>0.1897506925</v>
      </c>
    </row>
    <row r="24" ht="15.75" customHeight="1">
      <c r="A24" s="2">
        <v>23.0</v>
      </c>
      <c r="B24" s="3">
        <v>7.701</v>
      </c>
      <c r="C24" s="3">
        <v>1.083</v>
      </c>
      <c r="D24" s="3">
        <v>2.138</v>
      </c>
      <c r="E24" s="3">
        <v>0.845</v>
      </c>
      <c r="F24" s="3">
        <v>0.12</v>
      </c>
      <c r="G24" s="3">
        <v>0.519</v>
      </c>
      <c r="H24" s="3">
        <v>0.121</v>
      </c>
      <c r="I24" s="3">
        <f t="shared" si="1"/>
        <v>3.221</v>
      </c>
      <c r="J24" s="3">
        <f t="shared" si="2"/>
        <v>2.3908724</v>
      </c>
      <c r="K24" s="3">
        <f t="shared" si="3"/>
        <v>0.2312138728</v>
      </c>
    </row>
    <row r="25" ht="15.75" customHeight="1">
      <c r="A25" s="2">
        <v>24.0</v>
      </c>
      <c r="B25" s="3">
        <v>5.597</v>
      </c>
      <c r="C25" s="3">
        <v>1.145</v>
      </c>
      <c r="D25" s="3">
        <v>2.412</v>
      </c>
      <c r="E25" s="3">
        <v>0.73</v>
      </c>
      <c r="F25" s="3">
        <v>0.217</v>
      </c>
      <c r="G25" s="3">
        <v>0.537</v>
      </c>
      <c r="H25" s="3">
        <v>0.131</v>
      </c>
      <c r="I25" s="3">
        <f t="shared" si="1"/>
        <v>3.557</v>
      </c>
      <c r="J25" s="3">
        <f t="shared" si="2"/>
        <v>1.573517009</v>
      </c>
      <c r="K25" s="3">
        <f t="shared" si="3"/>
        <v>0.4040968343</v>
      </c>
    </row>
    <row r="26" ht="15.75" customHeight="1">
      <c r="A26" s="2">
        <v>25.0</v>
      </c>
      <c r="B26" s="3">
        <v>5.52</v>
      </c>
      <c r="C26" s="3">
        <v>0.999</v>
      </c>
      <c r="D26" s="3">
        <v>2.177</v>
      </c>
      <c r="E26" s="3">
        <v>0.811</v>
      </c>
      <c r="F26" s="3">
        <v>0.157</v>
      </c>
      <c r="G26" s="3">
        <v>0.578</v>
      </c>
      <c r="H26" s="3">
        <v>0.121</v>
      </c>
      <c r="I26" s="3">
        <f t="shared" si="1"/>
        <v>3.176</v>
      </c>
      <c r="J26" s="3">
        <f t="shared" si="2"/>
        <v>1.738035264</v>
      </c>
      <c r="K26" s="3">
        <f t="shared" si="3"/>
        <v>0.2716262976</v>
      </c>
    </row>
    <row r="27" ht="15.75" customHeight="1">
      <c r="A27" s="2">
        <v>26.0</v>
      </c>
      <c r="B27" s="3">
        <v>4.357</v>
      </c>
      <c r="C27" s="3">
        <v>0.855</v>
      </c>
      <c r="D27" s="3">
        <v>2.25</v>
      </c>
      <c r="E27" s="3">
        <v>0.865</v>
      </c>
      <c r="F27" s="3">
        <v>0.143</v>
      </c>
      <c r="G27" s="3">
        <v>0.496</v>
      </c>
      <c r="H27" s="3">
        <v>0.106</v>
      </c>
      <c r="I27" s="3">
        <f t="shared" si="1"/>
        <v>3.105</v>
      </c>
      <c r="J27" s="3">
        <f t="shared" si="2"/>
        <v>1.403220612</v>
      </c>
      <c r="K27" s="3">
        <f t="shared" si="3"/>
        <v>0.2883064516</v>
      </c>
    </row>
    <row r="28" ht="15.75" customHeight="1">
      <c r="A28" s="2">
        <v>27.0</v>
      </c>
      <c r="B28" s="3">
        <v>5.593</v>
      </c>
      <c r="C28" s="3">
        <v>0.706</v>
      </c>
      <c r="D28" s="3">
        <v>1.954</v>
      </c>
      <c r="E28" s="3">
        <v>0.896</v>
      </c>
      <c r="F28" s="3">
        <v>0.309</v>
      </c>
      <c r="G28" s="3">
        <v>0.486</v>
      </c>
      <c r="H28" s="3">
        <v>0.11</v>
      </c>
      <c r="I28" s="3">
        <f t="shared" si="1"/>
        <v>2.66</v>
      </c>
      <c r="J28" s="3">
        <f t="shared" si="2"/>
        <v>2.102631579</v>
      </c>
      <c r="K28" s="3">
        <f t="shared" si="3"/>
        <v>0.6358024691</v>
      </c>
    </row>
    <row r="29" ht="15.75" customHeight="1">
      <c r="A29" s="2">
        <v>28.0</v>
      </c>
      <c r="B29" s="3">
        <v>4.753</v>
      </c>
      <c r="C29" s="3">
        <v>0.869</v>
      </c>
      <c r="D29" s="3">
        <v>2.2</v>
      </c>
      <c r="E29" s="3">
        <v>0.937</v>
      </c>
      <c r="F29" s="3">
        <v>0.251</v>
      </c>
      <c r="G29" s="3">
        <v>0.619</v>
      </c>
      <c r="H29" s="3">
        <v>0.145</v>
      </c>
      <c r="I29" s="3">
        <f t="shared" si="1"/>
        <v>3.069</v>
      </c>
      <c r="J29" s="3">
        <f t="shared" si="2"/>
        <v>1.548712936</v>
      </c>
      <c r="K29" s="3">
        <f t="shared" si="3"/>
        <v>0.4054927302</v>
      </c>
    </row>
    <row r="30" ht="15.75" customHeight="1">
      <c r="A30" s="2">
        <v>29.0</v>
      </c>
      <c r="B30" s="3">
        <v>8.641</v>
      </c>
      <c r="C30" s="3">
        <v>0.961</v>
      </c>
      <c r="D30" s="3">
        <v>1.732</v>
      </c>
      <c r="E30" s="3">
        <v>0.731</v>
      </c>
      <c r="F30" s="3">
        <v>0.208</v>
      </c>
      <c r="G30" s="3">
        <v>0.549</v>
      </c>
      <c r="H30" s="3">
        <v>0.119</v>
      </c>
      <c r="I30" s="3">
        <f t="shared" si="1"/>
        <v>2.693</v>
      </c>
      <c r="J30" s="3">
        <f t="shared" si="2"/>
        <v>3.208689194</v>
      </c>
      <c r="K30" s="3">
        <f t="shared" si="3"/>
        <v>0.378870674</v>
      </c>
    </row>
    <row r="31" ht="15.75" customHeight="1">
      <c r="A31" s="2">
        <v>30.0</v>
      </c>
      <c r="B31" s="3">
        <v>5.566</v>
      </c>
      <c r="C31" s="3">
        <v>0.8</v>
      </c>
      <c r="D31" s="3">
        <v>2.346</v>
      </c>
      <c r="E31" s="3">
        <v>0.708</v>
      </c>
      <c r="F31" s="3">
        <v>0.221</v>
      </c>
      <c r="G31" s="3">
        <v>0.44</v>
      </c>
      <c r="H31" s="3">
        <v>0.08</v>
      </c>
      <c r="I31" s="3">
        <f t="shared" si="1"/>
        <v>3.146</v>
      </c>
      <c r="J31" s="3">
        <f t="shared" si="2"/>
        <v>1.769230769</v>
      </c>
      <c r="K31" s="3">
        <f t="shared" si="3"/>
        <v>0.5022727273</v>
      </c>
    </row>
    <row r="32" ht="15.75" customHeight="1">
      <c r="A32" s="2" t="s">
        <v>11</v>
      </c>
      <c r="B32" s="3">
        <f t="shared" ref="B32:K32" si="4">AVERAGE(B2:B31)</f>
        <v>5.7726</v>
      </c>
      <c r="C32" s="3">
        <f t="shared" si="4"/>
        <v>0.9393666667</v>
      </c>
      <c r="D32" s="3">
        <f t="shared" si="4"/>
        <v>2.167333333</v>
      </c>
      <c r="E32" s="3">
        <f t="shared" si="4"/>
        <v>0.8550333333</v>
      </c>
      <c r="F32" s="3">
        <f t="shared" si="4"/>
        <v>0.2064666667</v>
      </c>
      <c r="G32" s="3">
        <f t="shared" si="4"/>
        <v>0.5453666667</v>
      </c>
      <c r="H32" s="3">
        <f t="shared" si="4"/>
        <v>0.1180333333</v>
      </c>
      <c r="I32" s="3">
        <f t="shared" si="4"/>
        <v>3.1067</v>
      </c>
      <c r="J32" s="3">
        <f t="shared" si="4"/>
        <v>1.869934728</v>
      </c>
      <c r="K32" s="3">
        <f t="shared" si="4"/>
        <v>0.3862339395</v>
      </c>
    </row>
    <row r="33" ht="15.75" customHeight="1">
      <c r="A33" s="2" t="s">
        <v>12</v>
      </c>
      <c r="B33" s="3">
        <f t="shared" ref="B33:K33" si="5">STDEV(B2:B31)</f>
        <v>1.027915822</v>
      </c>
      <c r="C33" s="3">
        <f t="shared" si="5"/>
        <v>0.1347312736</v>
      </c>
      <c r="D33" s="3">
        <f t="shared" si="5"/>
        <v>0.2069033313</v>
      </c>
      <c r="E33" s="3">
        <f t="shared" si="5"/>
        <v>0.2208339185</v>
      </c>
      <c r="F33" s="3">
        <f t="shared" si="5"/>
        <v>0.05043653119</v>
      </c>
      <c r="G33" s="3">
        <f t="shared" si="5"/>
        <v>0.07498665782</v>
      </c>
      <c r="H33" s="3">
        <f t="shared" si="5"/>
        <v>0.0186574998</v>
      </c>
      <c r="I33" s="3">
        <f t="shared" si="5"/>
        <v>0.2280476584</v>
      </c>
      <c r="J33" s="3">
        <f t="shared" si="5"/>
        <v>0.3823875908</v>
      </c>
      <c r="K33" s="3">
        <f t="shared" si="5"/>
        <v>0.1100340324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>
        <v>5.483</v>
      </c>
      <c r="C2" s="3">
        <v>1.001</v>
      </c>
      <c r="D2" s="3">
        <v>2.45</v>
      </c>
      <c r="E2" s="3">
        <v>0.931</v>
      </c>
      <c r="F2" s="3">
        <v>0.339</v>
      </c>
      <c r="G2" s="3">
        <v>0.912</v>
      </c>
      <c r="H2" s="3">
        <v>0.295</v>
      </c>
      <c r="I2" s="3">
        <f t="shared" ref="I2:I31" si="1">C2+D2</f>
        <v>3.451</v>
      </c>
      <c r="J2" s="3">
        <f t="shared" ref="J2:J31" si="2">B2/I2</f>
        <v>1.588814836</v>
      </c>
      <c r="K2" s="3">
        <f t="shared" ref="K2:K31" si="3">F2/G2</f>
        <v>0.3717105263</v>
      </c>
    </row>
    <row r="3">
      <c r="A3" s="2">
        <v>2.0</v>
      </c>
      <c r="B3" s="3">
        <v>7.851</v>
      </c>
      <c r="C3" s="3">
        <v>0.932</v>
      </c>
      <c r="D3" s="3">
        <v>2.075</v>
      </c>
      <c r="E3" s="3">
        <v>0.84</v>
      </c>
      <c r="F3" s="3">
        <v>0.179</v>
      </c>
      <c r="G3" s="3">
        <v>0.628</v>
      </c>
      <c r="H3" s="3">
        <v>0.156</v>
      </c>
      <c r="I3" s="3">
        <f t="shared" si="1"/>
        <v>3.007</v>
      </c>
      <c r="J3" s="3">
        <f t="shared" si="2"/>
        <v>2.610907882</v>
      </c>
      <c r="K3" s="3">
        <f t="shared" si="3"/>
        <v>0.2850318471</v>
      </c>
    </row>
    <row r="4">
      <c r="A4" s="2">
        <v>3.0</v>
      </c>
      <c r="B4" s="3">
        <v>7.666</v>
      </c>
      <c r="C4" s="3">
        <v>1.029</v>
      </c>
      <c r="D4" s="3">
        <v>1.953</v>
      </c>
      <c r="E4" s="3">
        <v>0.748</v>
      </c>
      <c r="F4" s="3">
        <v>0.24</v>
      </c>
      <c r="G4" s="3">
        <v>0.633</v>
      </c>
      <c r="H4" s="3">
        <v>0.169</v>
      </c>
      <c r="I4" s="3">
        <f t="shared" si="1"/>
        <v>2.982</v>
      </c>
      <c r="J4" s="3">
        <f t="shared" si="2"/>
        <v>2.570757881</v>
      </c>
      <c r="K4" s="3">
        <f t="shared" si="3"/>
        <v>0.3791469194</v>
      </c>
    </row>
    <row r="5">
      <c r="A5" s="2">
        <v>4.0</v>
      </c>
      <c r="B5" s="3">
        <v>6.187</v>
      </c>
      <c r="C5" s="3">
        <v>0.729</v>
      </c>
      <c r="D5" s="3">
        <v>2.1</v>
      </c>
      <c r="E5" s="3">
        <v>0.957</v>
      </c>
      <c r="F5" s="3">
        <v>0.176</v>
      </c>
      <c r="G5" s="3">
        <v>0.601</v>
      </c>
      <c r="H5" s="3">
        <v>0.176</v>
      </c>
      <c r="I5" s="3">
        <f t="shared" si="1"/>
        <v>2.829</v>
      </c>
      <c r="J5" s="3">
        <f t="shared" si="2"/>
        <v>2.18699187</v>
      </c>
      <c r="K5" s="3">
        <f t="shared" si="3"/>
        <v>0.2928452579</v>
      </c>
    </row>
    <row r="6">
      <c r="A6" s="2">
        <v>5.0</v>
      </c>
      <c r="B6" s="3">
        <v>8.47</v>
      </c>
      <c r="C6" s="3">
        <v>0.926</v>
      </c>
      <c r="D6" s="3">
        <v>2.126</v>
      </c>
      <c r="E6" s="3">
        <v>0.99</v>
      </c>
      <c r="F6" s="3">
        <v>0.291</v>
      </c>
      <c r="G6" s="3">
        <v>0.568</v>
      </c>
      <c r="H6" s="3">
        <v>0.167</v>
      </c>
      <c r="I6" s="3">
        <f t="shared" si="1"/>
        <v>3.052</v>
      </c>
      <c r="J6" s="3">
        <f t="shared" si="2"/>
        <v>2.775229358</v>
      </c>
      <c r="K6" s="3">
        <f t="shared" si="3"/>
        <v>0.5123239437</v>
      </c>
    </row>
    <row r="7">
      <c r="A7" s="2">
        <v>6.0</v>
      </c>
      <c r="B7" s="3">
        <v>6.561</v>
      </c>
      <c r="C7" s="3">
        <v>0.802</v>
      </c>
      <c r="D7" s="3">
        <v>2.102</v>
      </c>
      <c r="E7" s="3">
        <v>0.892</v>
      </c>
      <c r="F7" s="3">
        <v>0.133</v>
      </c>
      <c r="G7" s="3">
        <v>0.434</v>
      </c>
      <c r="H7" s="3">
        <v>0.112</v>
      </c>
      <c r="I7" s="3">
        <f t="shared" si="1"/>
        <v>2.904</v>
      </c>
      <c r="J7" s="3">
        <f t="shared" si="2"/>
        <v>2.259297521</v>
      </c>
      <c r="K7" s="3">
        <f t="shared" si="3"/>
        <v>0.3064516129</v>
      </c>
    </row>
    <row r="8">
      <c r="A8" s="2">
        <v>7.0</v>
      </c>
      <c r="B8" s="3">
        <v>4.194</v>
      </c>
      <c r="C8" s="3">
        <v>0.897</v>
      </c>
      <c r="D8" s="3">
        <v>1.824</v>
      </c>
      <c r="E8" s="3">
        <v>0.605</v>
      </c>
      <c r="F8" s="3">
        <v>0.209</v>
      </c>
      <c r="G8" s="3">
        <v>0.574</v>
      </c>
      <c r="H8" s="3">
        <v>0.134</v>
      </c>
      <c r="I8" s="3">
        <f t="shared" si="1"/>
        <v>2.721</v>
      </c>
      <c r="J8" s="3">
        <f t="shared" si="2"/>
        <v>1.541345094</v>
      </c>
      <c r="K8" s="3">
        <f t="shared" si="3"/>
        <v>0.3641114983</v>
      </c>
    </row>
    <row r="9">
      <c r="A9" s="2">
        <v>8.0</v>
      </c>
      <c r="B9" s="3">
        <v>4.449</v>
      </c>
      <c r="C9" s="3">
        <v>0.908</v>
      </c>
      <c r="D9" s="3">
        <v>1.873</v>
      </c>
      <c r="E9" s="3">
        <v>0.52</v>
      </c>
      <c r="F9" s="3">
        <v>0.185</v>
      </c>
      <c r="G9" s="3">
        <v>0.564</v>
      </c>
      <c r="H9" s="3">
        <v>0.103</v>
      </c>
      <c r="I9" s="3">
        <f t="shared" si="1"/>
        <v>2.781</v>
      </c>
      <c r="J9" s="3">
        <f t="shared" si="2"/>
        <v>1.59978425</v>
      </c>
      <c r="K9" s="3">
        <f t="shared" si="3"/>
        <v>0.3280141844</v>
      </c>
    </row>
    <row r="10">
      <c r="A10" s="2">
        <v>9.0</v>
      </c>
      <c r="B10" s="3">
        <v>5.645</v>
      </c>
      <c r="C10" s="3">
        <v>0.799</v>
      </c>
      <c r="D10" s="3">
        <v>1.773</v>
      </c>
      <c r="E10" s="3">
        <v>0.956</v>
      </c>
      <c r="F10" s="3">
        <v>0.122</v>
      </c>
      <c r="G10" s="3">
        <v>0.44</v>
      </c>
      <c r="H10" s="3">
        <v>0.113</v>
      </c>
      <c r="I10" s="3">
        <f t="shared" si="1"/>
        <v>2.572</v>
      </c>
      <c r="J10" s="3">
        <f t="shared" si="2"/>
        <v>2.194790047</v>
      </c>
      <c r="K10" s="3">
        <f t="shared" si="3"/>
        <v>0.2772727273</v>
      </c>
    </row>
    <row r="11">
      <c r="A11" s="2">
        <v>10.0</v>
      </c>
      <c r="B11" s="4">
        <v>5.75</v>
      </c>
      <c r="C11" s="4">
        <v>0.699</v>
      </c>
      <c r="D11" s="4">
        <v>1.854</v>
      </c>
      <c r="E11" s="4">
        <v>0.645</v>
      </c>
      <c r="F11" s="4">
        <v>0.169</v>
      </c>
      <c r="G11" s="4">
        <v>0.428</v>
      </c>
      <c r="H11" s="4">
        <v>0.113</v>
      </c>
      <c r="I11" s="3">
        <f t="shared" si="1"/>
        <v>2.553</v>
      </c>
      <c r="J11" s="3">
        <f t="shared" si="2"/>
        <v>2.252252252</v>
      </c>
      <c r="K11" s="3">
        <f t="shared" si="3"/>
        <v>0.3948598131</v>
      </c>
    </row>
    <row r="12">
      <c r="A12" s="2">
        <v>11.0</v>
      </c>
      <c r="B12" s="4">
        <v>6.54</v>
      </c>
      <c r="C12" s="4">
        <v>0.76</v>
      </c>
      <c r="D12" s="4">
        <v>1.945</v>
      </c>
      <c r="E12" s="4">
        <v>0.571</v>
      </c>
      <c r="F12" s="4">
        <v>0.245</v>
      </c>
      <c r="G12" s="4">
        <v>0.453</v>
      </c>
      <c r="H12" s="4">
        <v>0.106</v>
      </c>
      <c r="I12" s="3">
        <f t="shared" si="1"/>
        <v>2.705</v>
      </c>
      <c r="J12" s="3">
        <f t="shared" si="2"/>
        <v>2.417744917</v>
      </c>
      <c r="K12" s="3">
        <f t="shared" si="3"/>
        <v>0.5408388521</v>
      </c>
    </row>
    <row r="13">
      <c r="A13" s="2">
        <v>12.0</v>
      </c>
      <c r="B13" s="4">
        <v>7.195</v>
      </c>
      <c r="C13" s="4">
        <v>0.756</v>
      </c>
      <c r="D13" s="4">
        <v>2.2</v>
      </c>
      <c r="E13" s="4">
        <v>0.627</v>
      </c>
      <c r="F13" s="4">
        <v>0.184</v>
      </c>
      <c r="G13" s="4">
        <v>0.565</v>
      </c>
      <c r="H13" s="4">
        <v>0.121</v>
      </c>
      <c r="I13" s="3">
        <f t="shared" si="1"/>
        <v>2.956</v>
      </c>
      <c r="J13" s="3">
        <f t="shared" si="2"/>
        <v>2.434032476</v>
      </c>
      <c r="K13" s="3">
        <f t="shared" si="3"/>
        <v>0.3256637168</v>
      </c>
    </row>
    <row r="14">
      <c r="A14" s="2">
        <v>13.0</v>
      </c>
      <c r="B14" s="4">
        <v>5.105</v>
      </c>
      <c r="C14" s="4">
        <v>0.734</v>
      </c>
      <c r="D14" s="4">
        <v>1.966</v>
      </c>
      <c r="E14" s="4">
        <v>0.873</v>
      </c>
      <c r="F14" s="4">
        <v>0.113</v>
      </c>
      <c r="G14" s="4">
        <v>0.602</v>
      </c>
      <c r="H14" s="4">
        <v>0.124</v>
      </c>
      <c r="I14" s="3">
        <f t="shared" si="1"/>
        <v>2.7</v>
      </c>
      <c r="J14" s="3">
        <f t="shared" si="2"/>
        <v>1.890740741</v>
      </c>
      <c r="K14" s="3">
        <f t="shared" si="3"/>
        <v>0.1877076412</v>
      </c>
    </row>
    <row r="15">
      <c r="A15" s="2">
        <v>14.0</v>
      </c>
      <c r="B15" s="4">
        <v>6.701</v>
      </c>
      <c r="C15" s="4">
        <v>0.868</v>
      </c>
      <c r="D15" s="4">
        <v>1.996</v>
      </c>
      <c r="E15" s="4">
        <v>0.976</v>
      </c>
      <c r="F15" s="4">
        <v>0.221</v>
      </c>
      <c r="G15" s="4">
        <v>0.687</v>
      </c>
      <c r="H15" s="4">
        <v>0.145</v>
      </c>
      <c r="I15" s="3">
        <f t="shared" si="1"/>
        <v>2.864</v>
      </c>
      <c r="J15" s="3">
        <f t="shared" si="2"/>
        <v>2.339734637</v>
      </c>
      <c r="K15" s="3">
        <f t="shared" si="3"/>
        <v>0.3216885007</v>
      </c>
    </row>
    <row r="16">
      <c r="A16" s="2">
        <v>15.0</v>
      </c>
      <c r="B16" s="4">
        <v>7.595</v>
      </c>
      <c r="C16" s="4">
        <v>0.738</v>
      </c>
      <c r="D16" s="4">
        <v>2.039</v>
      </c>
      <c r="E16" s="4">
        <v>0.797</v>
      </c>
      <c r="F16" s="4">
        <v>0.156</v>
      </c>
      <c r="G16" s="4">
        <v>0.612</v>
      </c>
      <c r="H16" s="4">
        <v>0.137</v>
      </c>
      <c r="I16" s="3">
        <f t="shared" si="1"/>
        <v>2.777</v>
      </c>
      <c r="J16" s="3">
        <f t="shared" si="2"/>
        <v>2.73496579</v>
      </c>
      <c r="K16" s="3">
        <f t="shared" si="3"/>
        <v>0.2549019608</v>
      </c>
    </row>
    <row r="17">
      <c r="A17" s="2">
        <v>16.0</v>
      </c>
      <c r="B17" s="4">
        <v>6.524</v>
      </c>
      <c r="C17" s="4">
        <v>0.822</v>
      </c>
      <c r="D17" s="4">
        <v>1.852</v>
      </c>
      <c r="E17" s="4">
        <v>0.944</v>
      </c>
      <c r="F17" s="4">
        <v>0.184</v>
      </c>
      <c r="G17" s="4">
        <v>0.56</v>
      </c>
      <c r="H17" s="4">
        <v>0.155</v>
      </c>
      <c r="I17" s="3">
        <f t="shared" si="1"/>
        <v>2.674</v>
      </c>
      <c r="J17" s="3">
        <f t="shared" si="2"/>
        <v>2.439790576</v>
      </c>
      <c r="K17" s="3">
        <f t="shared" si="3"/>
        <v>0.3285714286</v>
      </c>
    </row>
    <row r="18">
      <c r="A18" s="2">
        <v>17.0</v>
      </c>
      <c r="B18" s="4">
        <v>6.612</v>
      </c>
      <c r="C18" s="4">
        <v>0.757</v>
      </c>
      <c r="D18" s="4">
        <v>1.901</v>
      </c>
      <c r="E18" s="4">
        <v>0.823</v>
      </c>
      <c r="F18" s="4">
        <v>0.214</v>
      </c>
      <c r="G18" s="4">
        <v>0.705</v>
      </c>
      <c r="H18" s="4">
        <v>0.176</v>
      </c>
      <c r="I18" s="3">
        <f t="shared" si="1"/>
        <v>2.658</v>
      </c>
      <c r="J18" s="3">
        <f t="shared" si="2"/>
        <v>2.48758465</v>
      </c>
      <c r="K18" s="3">
        <f t="shared" si="3"/>
        <v>0.3035460993</v>
      </c>
    </row>
    <row r="19">
      <c r="A19" s="2">
        <v>18.0</v>
      </c>
      <c r="B19" s="4">
        <v>6.942</v>
      </c>
      <c r="C19" s="4">
        <v>0.804</v>
      </c>
      <c r="D19" s="4">
        <v>1.995</v>
      </c>
      <c r="E19" s="4">
        <v>0.877</v>
      </c>
      <c r="F19" s="4">
        <v>0.16</v>
      </c>
      <c r="G19" s="4">
        <v>0.475</v>
      </c>
      <c r="H19" s="4">
        <v>0.167</v>
      </c>
      <c r="I19" s="3">
        <f t="shared" si="1"/>
        <v>2.799</v>
      </c>
      <c r="J19" s="3">
        <f t="shared" si="2"/>
        <v>2.48017149</v>
      </c>
      <c r="K19" s="3">
        <f t="shared" si="3"/>
        <v>0.3368421053</v>
      </c>
    </row>
    <row r="20">
      <c r="A20" s="2">
        <v>19.0</v>
      </c>
      <c r="B20" s="4">
        <v>5.478</v>
      </c>
      <c r="C20" s="4">
        <v>0.669</v>
      </c>
      <c r="D20" s="4">
        <v>2.106</v>
      </c>
      <c r="E20" s="4">
        <v>0.713</v>
      </c>
      <c r="F20" s="4">
        <v>0.184</v>
      </c>
      <c r="G20" s="4">
        <v>0.622</v>
      </c>
      <c r="H20" s="4">
        <v>0.165</v>
      </c>
      <c r="I20" s="3">
        <f t="shared" si="1"/>
        <v>2.775</v>
      </c>
      <c r="J20" s="3">
        <f t="shared" si="2"/>
        <v>1.974054054</v>
      </c>
      <c r="K20" s="3">
        <f t="shared" si="3"/>
        <v>0.2958199357</v>
      </c>
    </row>
    <row r="21" ht="15.75" customHeight="1">
      <c r="A21" s="2">
        <v>20.0</v>
      </c>
      <c r="B21" s="4">
        <v>6.647</v>
      </c>
      <c r="C21" s="4">
        <v>0.975</v>
      </c>
      <c r="D21" s="4">
        <v>2.092</v>
      </c>
      <c r="E21" s="4">
        <v>0.992</v>
      </c>
      <c r="F21" s="4">
        <v>0.195</v>
      </c>
      <c r="G21" s="4">
        <v>0.517</v>
      </c>
      <c r="H21" s="4">
        <v>0.113</v>
      </c>
      <c r="I21" s="3">
        <f t="shared" si="1"/>
        <v>3.067</v>
      </c>
      <c r="J21" s="3">
        <f t="shared" si="2"/>
        <v>2.167264428</v>
      </c>
      <c r="K21" s="3">
        <f t="shared" si="3"/>
        <v>0.3771760155</v>
      </c>
    </row>
    <row r="22" ht="15.75" customHeight="1">
      <c r="A22" s="2">
        <v>21.0</v>
      </c>
      <c r="B22" s="4">
        <v>5.486</v>
      </c>
      <c r="C22" s="4">
        <v>1.05</v>
      </c>
      <c r="D22" s="4">
        <v>1.771</v>
      </c>
      <c r="E22" s="4">
        <v>0.635</v>
      </c>
      <c r="F22" s="4">
        <v>0.156</v>
      </c>
      <c r="G22" s="4">
        <v>0.633</v>
      </c>
      <c r="H22" s="4">
        <v>0.186</v>
      </c>
      <c r="I22" s="3">
        <f t="shared" si="1"/>
        <v>2.821</v>
      </c>
      <c r="J22" s="3">
        <f t="shared" si="2"/>
        <v>1.944700461</v>
      </c>
      <c r="K22" s="3">
        <f t="shared" si="3"/>
        <v>0.2464454976</v>
      </c>
    </row>
    <row r="23" ht="15.75" customHeight="1">
      <c r="A23" s="2">
        <v>22.0</v>
      </c>
      <c r="B23" s="4">
        <v>6.676</v>
      </c>
      <c r="C23" s="4">
        <v>0.897</v>
      </c>
      <c r="D23" s="4">
        <v>1.966</v>
      </c>
      <c r="E23" s="4">
        <v>0.756</v>
      </c>
      <c r="F23" s="4">
        <v>0.166</v>
      </c>
      <c r="G23" s="4">
        <v>0.522</v>
      </c>
      <c r="H23" s="4">
        <v>0.16</v>
      </c>
      <c r="I23" s="3">
        <f t="shared" si="1"/>
        <v>2.863</v>
      </c>
      <c r="J23" s="3">
        <f t="shared" si="2"/>
        <v>2.331819769</v>
      </c>
      <c r="K23" s="3">
        <f t="shared" si="3"/>
        <v>0.3180076628</v>
      </c>
    </row>
    <row r="24" ht="15.75" customHeight="1">
      <c r="A24" s="2">
        <v>23.0</v>
      </c>
      <c r="B24" s="4">
        <v>7.488</v>
      </c>
      <c r="C24" s="4">
        <v>0.818</v>
      </c>
      <c r="D24" s="4">
        <v>2.114</v>
      </c>
      <c r="E24" s="4">
        <v>1.041</v>
      </c>
      <c r="F24" s="4">
        <v>0.253</v>
      </c>
      <c r="G24" s="4">
        <v>0.469</v>
      </c>
      <c r="H24" s="4">
        <v>0.128</v>
      </c>
      <c r="I24" s="3">
        <f t="shared" si="1"/>
        <v>2.932</v>
      </c>
      <c r="J24" s="3">
        <f t="shared" si="2"/>
        <v>2.553888131</v>
      </c>
      <c r="K24" s="3">
        <f t="shared" si="3"/>
        <v>0.539445629</v>
      </c>
    </row>
    <row r="25" ht="15.75" customHeight="1">
      <c r="A25" s="2">
        <v>24.0</v>
      </c>
      <c r="B25" s="4">
        <v>8.186</v>
      </c>
      <c r="C25" s="4">
        <v>0.973</v>
      </c>
      <c r="D25" s="4">
        <v>1.997</v>
      </c>
      <c r="E25" s="4">
        <v>0.989</v>
      </c>
      <c r="F25" s="4">
        <v>0.245</v>
      </c>
      <c r="G25" s="4">
        <v>0.621</v>
      </c>
      <c r="H25" s="4">
        <v>0.205</v>
      </c>
      <c r="I25" s="3">
        <f t="shared" si="1"/>
        <v>2.97</v>
      </c>
      <c r="J25" s="3">
        <f t="shared" si="2"/>
        <v>2.756228956</v>
      </c>
      <c r="K25" s="3">
        <f t="shared" si="3"/>
        <v>0.3945249597</v>
      </c>
    </row>
    <row r="26" ht="15.75" customHeight="1">
      <c r="A26" s="2">
        <v>25.0</v>
      </c>
      <c r="B26" s="4">
        <v>8.082</v>
      </c>
      <c r="C26" s="4">
        <v>0.88</v>
      </c>
      <c r="D26" s="4">
        <v>2.154</v>
      </c>
      <c r="E26" s="4">
        <v>0.834</v>
      </c>
      <c r="F26" s="4">
        <v>0.167</v>
      </c>
      <c r="G26" s="4">
        <v>0.549</v>
      </c>
      <c r="H26" s="4">
        <v>0.21</v>
      </c>
      <c r="I26" s="3">
        <f t="shared" si="1"/>
        <v>3.034</v>
      </c>
      <c r="J26" s="3">
        <f t="shared" si="2"/>
        <v>2.663810152</v>
      </c>
      <c r="K26" s="3">
        <f t="shared" si="3"/>
        <v>0.3041894353</v>
      </c>
    </row>
    <row r="27" ht="15.75" customHeight="1">
      <c r="A27" s="2">
        <v>26.0</v>
      </c>
      <c r="B27" s="4">
        <v>5.847</v>
      </c>
      <c r="C27" s="4">
        <v>0.842</v>
      </c>
      <c r="D27" s="4">
        <v>2.051</v>
      </c>
      <c r="E27" s="4">
        <v>0.701</v>
      </c>
      <c r="F27" s="4">
        <v>0.175</v>
      </c>
      <c r="G27" s="4">
        <v>0.643</v>
      </c>
      <c r="H27" s="4">
        <v>0.144</v>
      </c>
      <c r="I27" s="3">
        <f t="shared" si="1"/>
        <v>2.893</v>
      </c>
      <c r="J27" s="3">
        <f t="shared" si="2"/>
        <v>2.021085378</v>
      </c>
      <c r="K27" s="3">
        <f t="shared" si="3"/>
        <v>0.2721617418</v>
      </c>
    </row>
    <row r="28" ht="15.75" customHeight="1">
      <c r="A28" s="2">
        <v>27.0</v>
      </c>
      <c r="B28" s="4">
        <v>5.414</v>
      </c>
      <c r="C28" s="4">
        <v>0.913</v>
      </c>
      <c r="D28" s="4">
        <v>1.806</v>
      </c>
      <c r="E28" s="4">
        <v>0.941</v>
      </c>
      <c r="F28" s="4">
        <v>0.166</v>
      </c>
      <c r="G28" s="4">
        <v>0.529</v>
      </c>
      <c r="H28" s="4">
        <v>0.107</v>
      </c>
      <c r="I28" s="3">
        <f t="shared" si="1"/>
        <v>2.719</v>
      </c>
      <c r="J28" s="3">
        <f t="shared" si="2"/>
        <v>1.991173225</v>
      </c>
      <c r="K28" s="3">
        <f t="shared" si="3"/>
        <v>0.3137996219</v>
      </c>
    </row>
    <row r="29" ht="15.75" customHeight="1">
      <c r="A29" s="2">
        <v>28.0</v>
      </c>
      <c r="B29" s="4">
        <v>7.504</v>
      </c>
      <c r="C29" s="4">
        <v>0.904</v>
      </c>
      <c r="D29" s="4">
        <v>2.304</v>
      </c>
      <c r="E29" s="4">
        <v>0.797</v>
      </c>
      <c r="F29" s="4">
        <v>0.14</v>
      </c>
      <c r="G29" s="4">
        <v>0.467</v>
      </c>
      <c r="H29" s="4">
        <v>0.159</v>
      </c>
      <c r="I29" s="3">
        <f t="shared" si="1"/>
        <v>3.208</v>
      </c>
      <c r="J29" s="3">
        <f t="shared" si="2"/>
        <v>2.33915212</v>
      </c>
      <c r="K29" s="3">
        <f t="shared" si="3"/>
        <v>0.2997858672</v>
      </c>
    </row>
    <row r="30" ht="15.75" customHeight="1">
      <c r="A30" s="2">
        <v>29.0</v>
      </c>
      <c r="B30" s="4">
        <v>6.802</v>
      </c>
      <c r="C30" s="4">
        <v>0.715</v>
      </c>
      <c r="D30" s="4">
        <v>2.066</v>
      </c>
      <c r="E30" s="4">
        <v>0.955</v>
      </c>
      <c r="F30" s="4">
        <v>0.259</v>
      </c>
      <c r="G30" s="4">
        <v>0.632</v>
      </c>
      <c r="H30" s="4">
        <v>0.148</v>
      </c>
      <c r="I30" s="3">
        <f t="shared" si="1"/>
        <v>2.781</v>
      </c>
      <c r="J30" s="3">
        <f t="shared" si="2"/>
        <v>2.445882776</v>
      </c>
      <c r="K30" s="3">
        <f t="shared" si="3"/>
        <v>0.4098101266</v>
      </c>
    </row>
    <row r="31" ht="15.75" customHeight="1">
      <c r="A31" s="2">
        <v>30.0</v>
      </c>
      <c r="B31" s="4">
        <v>7.735</v>
      </c>
      <c r="C31" s="4">
        <v>0.748</v>
      </c>
      <c r="D31" s="4">
        <v>2.086</v>
      </c>
      <c r="E31" s="4">
        <v>0.932</v>
      </c>
      <c r="F31" s="4">
        <v>0.233</v>
      </c>
      <c r="G31" s="4">
        <v>0.666</v>
      </c>
      <c r="H31" s="4">
        <v>0.126</v>
      </c>
      <c r="I31" s="3">
        <f t="shared" si="1"/>
        <v>2.834</v>
      </c>
      <c r="J31" s="3">
        <f t="shared" si="2"/>
        <v>2.729357798</v>
      </c>
      <c r="K31" s="3">
        <f t="shared" si="3"/>
        <v>0.3498498498</v>
      </c>
    </row>
    <row r="32" ht="15.75" customHeight="1">
      <c r="A32" s="2" t="s">
        <v>11</v>
      </c>
      <c r="B32" s="3">
        <f t="shared" ref="B32:K32" si="4">AVERAGE(B2:B31)</f>
        <v>6.5605</v>
      </c>
      <c r="C32" s="3">
        <f t="shared" si="4"/>
        <v>0.8448333333</v>
      </c>
      <c r="D32" s="3">
        <f t="shared" si="4"/>
        <v>2.0179</v>
      </c>
      <c r="E32" s="3">
        <f t="shared" si="4"/>
        <v>0.8286</v>
      </c>
      <c r="F32" s="3">
        <f t="shared" si="4"/>
        <v>0.1953</v>
      </c>
      <c r="G32" s="3">
        <f t="shared" si="4"/>
        <v>0.5770333333</v>
      </c>
      <c r="H32" s="3">
        <f t="shared" si="4"/>
        <v>0.1506666667</v>
      </c>
      <c r="I32" s="3">
        <f t="shared" si="4"/>
        <v>2.862733333</v>
      </c>
      <c r="J32" s="3">
        <f t="shared" si="4"/>
        <v>2.290778451</v>
      </c>
      <c r="K32" s="3">
        <f t="shared" si="4"/>
        <v>0.3410848326</v>
      </c>
    </row>
    <row r="33" ht="15.75" customHeight="1">
      <c r="A33" s="2" t="s">
        <v>12</v>
      </c>
      <c r="B33" s="3">
        <f t="shared" ref="B33:K33" si="5">STDEV(B2:B31)</f>
        <v>1.105864142</v>
      </c>
      <c r="C33" s="3">
        <f t="shared" si="5"/>
        <v>0.1038062131</v>
      </c>
      <c r="D33" s="3">
        <f t="shared" si="5"/>
        <v>0.1541184833</v>
      </c>
      <c r="E33" s="3">
        <f t="shared" si="5"/>
        <v>0.1458027955</v>
      </c>
      <c r="F33" s="3">
        <f t="shared" si="5"/>
        <v>0.05082841318</v>
      </c>
      <c r="G33" s="3">
        <f t="shared" si="5"/>
        <v>0.1004539638</v>
      </c>
      <c r="H33" s="3">
        <f t="shared" si="5"/>
        <v>0.03995802395</v>
      </c>
      <c r="I33" s="3">
        <f t="shared" si="5"/>
        <v>0.1876430826</v>
      </c>
      <c r="J33" s="3">
        <f t="shared" si="5"/>
        <v>0.3477203744</v>
      </c>
      <c r="K33" s="3">
        <f t="shared" si="5"/>
        <v>0.08040832703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