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Table S1" sheetId="1" state="visible" r:id="rId3"/>
    <sheet name="Table S2" sheetId="2" state="visible" r:id="rId4"/>
    <sheet name="Table S3" sheetId="3" state="visible" r:id="rId5"/>
    <sheet name="Table S4" sheetId="4" state="visible" r:id="rId6"/>
    <sheet name="Table S5" sheetId="5" state="visible" r:id="rId7"/>
    <sheet name="Table S6" sheetId="6" state="visible" r:id="rId8"/>
    <sheet name="Table S7" sheetId="7" state="visible" r:id="rId9"/>
    <sheet name="Table S8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<sst xmlns="http://schemas.openxmlformats.org/spreadsheetml/2006/main" count="523" uniqueCount="388">
  <si>
    <r>
      <rPr>
        <b val="true"/>
        <sz val="12"/>
        <color theme="1"/>
        <rFont val="Times New Roman"/>
        <family val="0"/>
        <charset val="1"/>
      </rPr>
      <t xml:space="preserve">Table S1</t>
    </r>
    <r>
      <rPr>
        <sz val="12"/>
        <color theme="1"/>
        <rFont val="Times New Roman"/>
        <family val="0"/>
        <charset val="1"/>
      </rPr>
      <t xml:space="preserve">. Bees abundance in flowering plant species for low, medium and high urbanization levels.</t>
    </r>
  </si>
  <si>
    <t xml:space="preserve">Bee abundance</t>
  </si>
  <si>
    <t xml:space="preserve">Plant family/genus</t>
  </si>
  <si>
    <t xml:space="preserve">High</t>
  </si>
  <si>
    <t xml:space="preserve">Medium</t>
  </si>
  <si>
    <t xml:space="preserve">Low</t>
  </si>
  <si>
    <t xml:space="preserve">Grand Total</t>
  </si>
  <si>
    <t xml:space="preserve">Amaranthaceae</t>
  </si>
  <si>
    <t xml:space="preserve">          Celosia</t>
  </si>
  <si>
    <t xml:space="preserve">          Chenopodium</t>
  </si>
  <si>
    <t xml:space="preserve">Amaryllidaceae</t>
  </si>
  <si>
    <t xml:space="preserve">          Allium</t>
  </si>
  <si>
    <t xml:space="preserve">Apiaceae</t>
  </si>
  <si>
    <t xml:space="preserve">          Aegopodium</t>
  </si>
  <si>
    <t xml:space="preserve">          Anethum</t>
  </si>
  <si>
    <t xml:space="preserve">          Chaerophyllum</t>
  </si>
  <si>
    <t xml:space="preserve">          Coriandrum</t>
  </si>
  <si>
    <t xml:space="preserve">          Daucus</t>
  </si>
  <si>
    <t xml:space="preserve">          Foeniculum</t>
  </si>
  <si>
    <t xml:space="preserve">          Zizia</t>
  </si>
  <si>
    <t xml:space="preserve">Apocynaceae</t>
  </si>
  <si>
    <t xml:space="preserve">          Amsonia</t>
  </si>
  <si>
    <t xml:space="preserve">          Apocynum</t>
  </si>
  <si>
    <t xml:space="preserve">          Asclepias</t>
  </si>
  <si>
    <t xml:space="preserve">          Cornus</t>
  </si>
  <si>
    <t xml:space="preserve">Asparagaceae</t>
  </si>
  <si>
    <t xml:space="preserve">          Camassia</t>
  </si>
  <si>
    <t xml:space="preserve">          Hosta</t>
  </si>
  <si>
    <t xml:space="preserve">          Hyacinthus</t>
  </si>
  <si>
    <t xml:space="preserve">          Muscari</t>
  </si>
  <si>
    <t xml:space="preserve">          Polygonatum</t>
  </si>
  <si>
    <t xml:space="preserve">          Scilla</t>
  </si>
  <si>
    <t xml:space="preserve">Asphodelaceae</t>
  </si>
  <si>
    <t xml:space="preserve">          Hemerocallis</t>
  </si>
  <si>
    <t xml:space="preserve">Asteraceae</t>
  </si>
  <si>
    <t xml:space="preserve">          Achillea</t>
  </si>
  <si>
    <t xml:space="preserve">          Ageratina</t>
  </si>
  <si>
    <t xml:space="preserve">          Ageratum</t>
  </si>
  <si>
    <t xml:space="preserve">          Anaphalis</t>
  </si>
  <si>
    <t xml:space="preserve">          Arctium</t>
  </si>
  <si>
    <t xml:space="preserve">          Calendula</t>
  </si>
  <si>
    <t xml:space="preserve">          Centaurea</t>
  </si>
  <si>
    <t xml:space="preserve">          Cichorium</t>
  </si>
  <si>
    <t xml:space="preserve">          Cirsium</t>
  </si>
  <si>
    <t xml:space="preserve">          Coreopsis</t>
  </si>
  <si>
    <t xml:space="preserve">          Cosmos</t>
  </si>
  <si>
    <t xml:space="preserve">          Echinacea</t>
  </si>
  <si>
    <t xml:space="preserve">          Echinops</t>
  </si>
  <si>
    <t xml:space="preserve">          Erigeron</t>
  </si>
  <si>
    <t xml:space="preserve">          Eupatorium</t>
  </si>
  <si>
    <t xml:space="preserve">          Eurybia</t>
  </si>
  <si>
    <t xml:space="preserve">          Eutrochium</t>
  </si>
  <si>
    <t xml:space="preserve">          Gaillardia</t>
  </si>
  <si>
    <t xml:space="preserve">          Galinsoga</t>
  </si>
  <si>
    <t xml:space="preserve">          Gazania</t>
  </si>
  <si>
    <t xml:space="preserve">          Helianthus</t>
  </si>
  <si>
    <t xml:space="preserve">          Heliopsis</t>
  </si>
  <si>
    <t xml:space="preserve">          Hieracium</t>
  </si>
  <si>
    <t xml:space="preserve">          Leucanthemum</t>
  </si>
  <si>
    <t xml:space="preserve">          Liastris</t>
  </si>
  <si>
    <t xml:space="preserve">          Matricaria</t>
  </si>
  <si>
    <t xml:space="preserve">          Onopordum</t>
  </si>
  <si>
    <t xml:space="preserve">          Ratibida</t>
  </si>
  <si>
    <t xml:space="preserve">          Rudbeckia</t>
  </si>
  <si>
    <t xml:space="preserve">          Silphium</t>
  </si>
  <si>
    <t xml:space="preserve">          Solidago</t>
  </si>
  <si>
    <t xml:space="preserve">          Sonchus</t>
  </si>
  <si>
    <t xml:space="preserve">          Symphyotrichum</t>
  </si>
  <si>
    <t xml:space="preserve">          Tagetes</t>
  </si>
  <si>
    <t xml:space="preserve">          Tanacetum</t>
  </si>
  <si>
    <t xml:space="preserve">          Taraxacum</t>
  </si>
  <si>
    <t xml:space="preserve">          Tithonia</t>
  </si>
  <si>
    <t xml:space="preserve">          Verbesina</t>
  </si>
  <si>
    <t xml:space="preserve">          Vernonia</t>
  </si>
  <si>
    <t xml:space="preserve">Balsaminaceae</t>
  </si>
  <si>
    <t xml:space="preserve">          Chelidonium</t>
  </si>
  <si>
    <t xml:space="preserve">          Impatiens</t>
  </si>
  <si>
    <t xml:space="preserve">Bignoniaceae</t>
  </si>
  <si>
    <t xml:space="preserve">          Campsis</t>
  </si>
  <si>
    <t xml:space="preserve">          Catalpa</t>
  </si>
  <si>
    <t xml:space="preserve">Boraginaceae</t>
  </si>
  <si>
    <t xml:space="preserve">          Brunnera</t>
  </si>
  <si>
    <t xml:space="preserve">          Heliotropium</t>
  </si>
  <si>
    <t xml:space="preserve">          Hydrophyllum</t>
  </si>
  <si>
    <t xml:space="preserve">          Symphytum</t>
  </si>
  <si>
    <t xml:space="preserve">Brassicaceae</t>
  </si>
  <si>
    <t xml:space="preserve">          Alliaria</t>
  </si>
  <si>
    <t xml:space="preserve">          Brassica</t>
  </si>
  <si>
    <t xml:space="preserve">          Capsella</t>
  </si>
  <si>
    <t xml:space="preserve">          Diplotaxis</t>
  </si>
  <si>
    <t xml:space="preserve">          Eruca</t>
  </si>
  <si>
    <t xml:space="preserve">          Erysimum</t>
  </si>
  <si>
    <t xml:space="preserve">          Hesperis</t>
  </si>
  <si>
    <t xml:space="preserve">          Lepidium</t>
  </si>
  <si>
    <t xml:space="preserve">          Lobularia</t>
  </si>
  <si>
    <t xml:space="preserve">Buxaceae</t>
  </si>
  <si>
    <t xml:space="preserve">          Pachysandra</t>
  </si>
  <si>
    <t xml:space="preserve">Campanulaceae</t>
  </si>
  <si>
    <t xml:space="preserve">          Campanula</t>
  </si>
  <si>
    <t xml:space="preserve">          Lobelia</t>
  </si>
  <si>
    <t xml:space="preserve">          Platycodon</t>
  </si>
  <si>
    <t xml:space="preserve">Cannaceae</t>
  </si>
  <si>
    <t xml:space="preserve">          Canna</t>
  </si>
  <si>
    <t xml:space="preserve">Caprifoliaceae</t>
  </si>
  <si>
    <t xml:space="preserve">          Diervilla</t>
  </si>
  <si>
    <t xml:space="preserve">          Dipsacus</t>
  </si>
  <si>
    <t xml:space="preserve">          Knautia</t>
  </si>
  <si>
    <t xml:space="preserve">          Lonicera</t>
  </si>
  <si>
    <t xml:space="preserve">          Symphoricarpos</t>
  </si>
  <si>
    <t xml:space="preserve">Caryophyllaceae</t>
  </si>
  <si>
    <t xml:space="preserve">          Dianthus</t>
  </si>
  <si>
    <t xml:space="preserve">          Silene</t>
  </si>
  <si>
    <t xml:space="preserve">Celastraceae</t>
  </si>
  <si>
    <t xml:space="preserve">          Euonymus</t>
  </si>
  <si>
    <t xml:space="preserve">Clethraceae</t>
  </si>
  <si>
    <t xml:space="preserve">          Clethra</t>
  </si>
  <si>
    <t xml:space="preserve">Commelinaceae</t>
  </si>
  <si>
    <t xml:space="preserve">          Commelina</t>
  </si>
  <si>
    <t xml:space="preserve">Convolvulaceae</t>
  </si>
  <si>
    <t xml:space="preserve">          Convolvulus</t>
  </si>
  <si>
    <t xml:space="preserve">          Ipomoea</t>
  </si>
  <si>
    <t xml:space="preserve">Cornaceae</t>
  </si>
  <si>
    <t xml:space="preserve">Crassulaceae</t>
  </si>
  <si>
    <t xml:space="preserve">          Hylotelephium</t>
  </si>
  <si>
    <t xml:space="preserve">          Phedimus</t>
  </si>
  <si>
    <t xml:space="preserve">          Sedum</t>
  </si>
  <si>
    <t xml:space="preserve">Cucurbitaceae</t>
  </si>
  <si>
    <t xml:space="preserve">          Cucumis</t>
  </si>
  <si>
    <t xml:space="preserve">          Cucurbita</t>
  </si>
  <si>
    <t xml:space="preserve">Ericaceae</t>
  </si>
  <si>
    <t xml:space="preserve">          Vaccinium</t>
  </si>
  <si>
    <t xml:space="preserve">Euphorbiaceae</t>
  </si>
  <si>
    <t xml:space="preserve">          Euphorbia</t>
  </si>
  <si>
    <t xml:space="preserve">Fabaceae</t>
  </si>
  <si>
    <t xml:space="preserve">          Cercis</t>
  </si>
  <si>
    <t xml:space="preserve">          Desmodium</t>
  </si>
  <si>
    <t xml:space="preserve">          Lotus</t>
  </si>
  <si>
    <t xml:space="preserve">          Medicago</t>
  </si>
  <si>
    <t xml:space="preserve">          Melilotus</t>
  </si>
  <si>
    <t xml:space="preserve">          Robinia</t>
  </si>
  <si>
    <t xml:space="preserve">          Senna</t>
  </si>
  <si>
    <t xml:space="preserve">          Trifolium</t>
  </si>
  <si>
    <t xml:space="preserve">          Vicia</t>
  </si>
  <si>
    <t xml:space="preserve">Geraniaceae</t>
  </si>
  <si>
    <t xml:space="preserve">          Geranium</t>
  </si>
  <si>
    <t xml:space="preserve">Goodeniaceae</t>
  </si>
  <si>
    <t xml:space="preserve">          Scaevola</t>
  </si>
  <si>
    <t xml:space="preserve">Hydrangeaceae</t>
  </si>
  <si>
    <t xml:space="preserve">          Hydrangea</t>
  </si>
  <si>
    <t xml:space="preserve">          Philadelphus</t>
  </si>
  <si>
    <t xml:space="preserve">Hypericaceae</t>
  </si>
  <si>
    <t xml:space="preserve">          Hypericum</t>
  </si>
  <si>
    <t xml:space="preserve">Iridaceae</t>
  </si>
  <si>
    <t xml:space="preserve">          Iris</t>
  </si>
  <si>
    <t xml:space="preserve">Lamiaceae</t>
  </si>
  <si>
    <t xml:space="preserve">          Agastache</t>
  </si>
  <si>
    <t xml:space="preserve">          Ajuga</t>
  </si>
  <si>
    <t xml:space="preserve">          Lavandula</t>
  </si>
  <si>
    <t xml:space="preserve">          Leonurus</t>
  </si>
  <si>
    <t xml:space="preserve">          Mentha</t>
  </si>
  <si>
    <t xml:space="preserve">          Monarda</t>
  </si>
  <si>
    <t xml:space="preserve">          Nepeta</t>
  </si>
  <si>
    <t xml:space="preserve">          Ocimum</t>
  </si>
  <si>
    <t xml:space="preserve">          Origanum</t>
  </si>
  <si>
    <t xml:space="preserve">          Perilla</t>
  </si>
  <si>
    <t xml:space="preserve">          Physostegia</t>
  </si>
  <si>
    <t xml:space="preserve">          Prunella</t>
  </si>
  <si>
    <t xml:space="preserve">          Pycnanthemum</t>
  </si>
  <si>
    <t xml:space="preserve">          Salvia</t>
  </si>
  <si>
    <t xml:space="preserve">          Satureja</t>
  </si>
  <si>
    <t xml:space="preserve">          Thymus</t>
  </si>
  <si>
    <t xml:space="preserve">Liliaceae</t>
  </si>
  <si>
    <t xml:space="preserve">          Lilium</t>
  </si>
  <si>
    <t xml:space="preserve">          Tulipa</t>
  </si>
  <si>
    <t xml:space="preserve">Malvaceae</t>
  </si>
  <si>
    <t xml:space="preserve">          Hibiscus</t>
  </si>
  <si>
    <t xml:space="preserve">          Malva</t>
  </si>
  <si>
    <t xml:space="preserve">Oleaceae</t>
  </si>
  <si>
    <t xml:space="preserve">          Forsythia</t>
  </si>
  <si>
    <t xml:space="preserve">          Ligustrum</t>
  </si>
  <si>
    <t xml:space="preserve">          Syringa</t>
  </si>
  <si>
    <t xml:space="preserve">Onagraceae</t>
  </si>
  <si>
    <t xml:space="preserve">          Chamaemelum</t>
  </si>
  <si>
    <t xml:space="preserve">          Circaea</t>
  </si>
  <si>
    <t xml:space="preserve">          Oenothera</t>
  </si>
  <si>
    <t xml:space="preserve">Oxalidaceae</t>
  </si>
  <si>
    <t xml:space="preserve">          Oxalis</t>
  </si>
  <si>
    <t xml:space="preserve">Paeoniaceae</t>
  </si>
  <si>
    <t xml:space="preserve">          Peony</t>
  </si>
  <si>
    <t xml:space="preserve">Papaveraceae</t>
  </si>
  <si>
    <t xml:space="preserve">          Lamprocapnos   </t>
  </si>
  <si>
    <t xml:space="preserve">          Macleaya</t>
  </si>
  <si>
    <t xml:space="preserve">Phytolaccaceae</t>
  </si>
  <si>
    <t xml:space="preserve">          Phytolacca</t>
  </si>
  <si>
    <t xml:space="preserve">Plantaginaceae</t>
  </si>
  <si>
    <t xml:space="preserve">          Chaenostoma</t>
  </si>
  <si>
    <t xml:space="preserve">          Penstemon</t>
  </si>
  <si>
    <t xml:space="preserve">          Plantago</t>
  </si>
  <si>
    <t xml:space="preserve">          Veronica</t>
  </si>
  <si>
    <t xml:space="preserve">          Veronicastrum</t>
  </si>
  <si>
    <t xml:space="preserve">Polemoniaceae</t>
  </si>
  <si>
    <t xml:space="preserve">           Phlox</t>
  </si>
  <si>
    <t xml:space="preserve">Polygonaceae</t>
  </si>
  <si>
    <t xml:space="preserve">          Fagopyrum  </t>
  </si>
  <si>
    <t xml:space="preserve">          Fallopia</t>
  </si>
  <si>
    <t xml:space="preserve">          Persicaria</t>
  </si>
  <si>
    <t xml:space="preserve">          Rumex</t>
  </si>
  <si>
    <t xml:space="preserve">Primulaceae</t>
  </si>
  <si>
    <t xml:space="preserve">          Lysimachia</t>
  </si>
  <si>
    <t xml:space="preserve">          Primula</t>
  </si>
  <si>
    <t xml:space="preserve">Ranunculaceae</t>
  </si>
  <si>
    <t xml:space="preserve">          Aquilegia</t>
  </si>
  <si>
    <t xml:space="preserve">          Clematis</t>
  </si>
  <si>
    <t xml:space="preserve">          Eriocapitella</t>
  </si>
  <si>
    <t xml:space="preserve">          Ranunculus</t>
  </si>
  <si>
    <t xml:space="preserve">Rhamnaceae</t>
  </si>
  <si>
    <t xml:space="preserve">          Ceanothus</t>
  </si>
  <si>
    <t xml:space="preserve">Rosaceae</t>
  </si>
  <si>
    <t xml:space="preserve">          Alchemilla</t>
  </si>
  <si>
    <t xml:space="preserve">          Amelanchier</t>
  </si>
  <si>
    <t xml:space="preserve">          Aronia</t>
  </si>
  <si>
    <t xml:space="preserve">          Cotoneaster</t>
  </si>
  <si>
    <t xml:space="preserve">          Dasiphora</t>
  </si>
  <si>
    <t xml:space="preserve">          Fragaria</t>
  </si>
  <si>
    <t xml:space="preserve">          Geum</t>
  </si>
  <si>
    <t xml:space="preserve">          Malus</t>
  </si>
  <si>
    <t xml:space="preserve">          Physocarpus</t>
  </si>
  <si>
    <t xml:space="preserve">          Potentilla</t>
  </si>
  <si>
    <t xml:space="preserve">          Prunus</t>
  </si>
  <si>
    <t xml:space="preserve">          Pyrus</t>
  </si>
  <si>
    <t xml:space="preserve">          Rosa</t>
  </si>
  <si>
    <t xml:space="preserve">          Rubus</t>
  </si>
  <si>
    <t xml:space="preserve">          Spiraea</t>
  </si>
  <si>
    <t xml:space="preserve">Rubiaceae</t>
  </si>
  <si>
    <t xml:space="preserve">          Galium</t>
  </si>
  <si>
    <t xml:space="preserve">          Pentas</t>
  </si>
  <si>
    <t xml:space="preserve">Salicaceae</t>
  </si>
  <si>
    <t xml:space="preserve">          Salix</t>
  </si>
  <si>
    <t xml:space="preserve">Sapindaceae</t>
  </si>
  <si>
    <t xml:space="preserve">          Acer</t>
  </si>
  <si>
    <t xml:space="preserve">          Aesculus</t>
  </si>
  <si>
    <t xml:space="preserve">Saxifragaceae</t>
  </si>
  <si>
    <t xml:space="preserve">          Heuchera</t>
  </si>
  <si>
    <t xml:space="preserve">Scrophulariaceae</t>
  </si>
  <si>
    <t xml:space="preserve">          Buddleja</t>
  </si>
  <si>
    <t xml:space="preserve">          Scrophularia</t>
  </si>
  <si>
    <t xml:space="preserve">Solanaceae</t>
  </si>
  <si>
    <t xml:space="preserve">          Solanum</t>
  </si>
  <si>
    <t xml:space="preserve">Verbenaceae</t>
  </si>
  <si>
    <t xml:space="preserve">          Verbena</t>
  </si>
  <si>
    <t xml:space="preserve">Violaceae</t>
  </si>
  <si>
    <t xml:space="preserve">          Viola</t>
  </si>
  <si>
    <t xml:space="preserve">Vitaceae</t>
  </si>
  <si>
    <t xml:space="preserve">          Parthenocissus</t>
  </si>
  <si>
    <r>
      <rPr>
        <b val="true"/>
        <sz val="12"/>
        <color theme="1"/>
        <rFont val="Times New Roman"/>
        <family val="0"/>
        <charset val="1"/>
      </rPr>
      <t xml:space="preserve">Table S2</t>
    </r>
    <r>
      <rPr>
        <sz val="12"/>
        <color theme="1"/>
        <rFont val="Times New Roman"/>
        <family val="0"/>
        <charset val="1"/>
      </rPr>
      <t xml:space="preserve">. Environmental data for each sample site</t>
    </r>
  </si>
  <si>
    <t xml:space="preserve">Site_ID</t>
  </si>
  <si>
    <t xml:space="preserve">Intensity</t>
  </si>
  <si>
    <t xml:space="preserve">Plant_rich</t>
  </si>
  <si>
    <t xml:space="preserve">Perc_shrub</t>
  </si>
  <si>
    <t xml:space="preserve">Perc_grass</t>
  </si>
  <si>
    <t xml:space="preserve">Perc_tree</t>
  </si>
  <si>
    <t xml:space="preserve">L01</t>
  </si>
  <si>
    <t xml:space="preserve">L02</t>
  </si>
  <si>
    <t xml:space="preserve">L03</t>
  </si>
  <si>
    <t xml:space="preserve">L04</t>
  </si>
  <si>
    <t xml:space="preserve">L05</t>
  </si>
  <si>
    <t xml:space="preserve">L06</t>
  </si>
  <si>
    <t xml:space="preserve">L07</t>
  </si>
  <si>
    <t xml:space="preserve">L08</t>
  </si>
  <si>
    <t xml:space="preserve">L09</t>
  </si>
  <si>
    <t xml:space="preserve">L10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</si>
  <si>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</si>
  <si>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</si>
  <si>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</si>
  <si>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</si>
  <si>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</si>
  <si>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</si>
  <si>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</si>
  <si>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</si>
  <si>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</si>
  <si>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</si>
  <si>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</si>
  <si>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</si>
  <si>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</si>
  <si>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</si>
  <si>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</si>
  <si>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</si>
  <si>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</si>
  <si>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</si>
  <si>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</si>
  <si>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r>
      <rPr>
        <b val="true"/>
        <sz val="12"/>
        <color rgb="FF000000"/>
        <rFont val="Times New Roman"/>
        <family val="1"/>
        <charset val="1"/>
      </rPr>
      <t xml:space="preserve">Table S3. </t>
    </r>
    <r>
      <rPr>
        <sz val="12"/>
        <color rgb="FF000000"/>
        <rFont val="Times New Roman"/>
        <family val="1"/>
        <charset val="1"/>
      </rPr>
      <t xml:space="preserve">Summarized information about functional traits for each studied species.</t>
    </r>
  </si>
  <si>
    <t xml:space="preserve">species</t>
  </si>
  <si>
    <t xml:space="preserve">Functional traits</t>
  </si>
  <si>
    <t xml:space="preserve">Date of changing season</t>
  </si>
  <si>
    <t xml:space="preserve">Diet</t>
  </si>
  <si>
    <t xml:space="preserve">Nesting</t>
  </si>
  <si>
    <t xml:space="preserve">Sociality</t>
  </si>
  <si>
    <t xml:space="preserve">Voltinism</t>
  </si>
  <si>
    <t xml:space="preserve">Body size</t>
  </si>
  <si>
    <t xml:space="preserve">Agapostemon sericeus</t>
  </si>
  <si>
    <r>
      <rPr>
        <sz val="12"/>
        <color rgb="FF000000"/>
        <rFont val="Times New Roman"/>
        <family val="1"/>
        <charset val="1"/>
      </rPr>
      <t xml:space="preserve">July 26</t>
    </r>
    <r>
      <rPr>
        <vertAlign val="superscript"/>
        <sz val="12"/>
        <color rgb="FF000000"/>
        <rFont val="Times New Roman"/>
        <family val="1"/>
        <charset val="1"/>
      </rPr>
      <t xml:space="preserve">th</t>
    </r>
  </si>
  <si>
    <t xml:space="preserve">Polylectic</t>
  </si>
  <si>
    <t xml:space="preserve">Ground</t>
  </si>
  <si>
    <t xml:space="preserve">Solitary</t>
  </si>
  <si>
    <t xml:space="preserve">Bivoltine</t>
  </si>
  <si>
    <t xml:space="preserve">Small</t>
  </si>
  <si>
    <t xml:space="preserve">Bombus griseocollis</t>
  </si>
  <si>
    <r>
      <rPr>
        <sz val="12"/>
        <color rgb="FF000000"/>
        <rFont val="Times New Roman"/>
        <family val="1"/>
        <charset val="1"/>
      </rPr>
      <t xml:space="preserve">August 10</t>
    </r>
    <r>
      <rPr>
        <vertAlign val="superscript"/>
        <sz val="12"/>
        <color rgb="FF000000"/>
        <rFont val="Times New Roman"/>
        <family val="1"/>
        <charset val="1"/>
      </rPr>
      <t xml:space="preserve">th</t>
    </r>
  </si>
  <si>
    <t xml:space="preserve">Social</t>
  </si>
  <si>
    <t xml:space="preserve">Large</t>
  </si>
  <si>
    <t xml:space="preserve">Bombus impatiens</t>
  </si>
  <si>
    <r>
      <rPr>
        <sz val="12"/>
        <color rgb="FF000000"/>
        <rFont val="Times New Roman"/>
        <family val="1"/>
        <charset val="1"/>
      </rPr>
      <t xml:space="preserve">July 14</t>
    </r>
    <r>
      <rPr>
        <vertAlign val="superscript"/>
        <sz val="12"/>
        <color rgb="FF000000"/>
        <rFont val="Times New Roman"/>
        <family val="1"/>
        <charset val="1"/>
      </rPr>
      <t xml:space="preserve">th</t>
    </r>
  </si>
  <si>
    <t xml:space="preserve">Ceratina calcarata</t>
  </si>
  <si>
    <t xml:space="preserve">NA</t>
  </si>
  <si>
    <t xml:space="preserve">Cavity</t>
  </si>
  <si>
    <t xml:space="preserve">Univoltine</t>
  </si>
  <si>
    <t xml:space="preserve">Eucera (Peponapis) pruinosa</t>
  </si>
  <si>
    <t xml:space="preserve">Oligolectic</t>
  </si>
  <si>
    <r>
      <rPr>
        <b val="true"/>
        <sz val="12"/>
        <color theme="1"/>
        <rFont val="Times New Roman"/>
        <family val="0"/>
        <charset val="1"/>
      </rPr>
      <t xml:space="preserve">Table S4. </t>
    </r>
    <r>
      <rPr>
        <sz val="12"/>
        <color theme="1"/>
        <rFont val="Times New Roman"/>
        <family val="0"/>
        <charset val="1"/>
      </rPr>
      <t xml:space="preserve">Abundance table for all species within each sample site</t>
    </r>
  </si>
  <si>
    <t xml:space="preserve">Eucera pruinosa</t>
  </si>
  <si>
    <r>
      <rPr>
        <b val="true"/>
        <sz val="12"/>
        <color theme="1"/>
        <rFont val="Times New Roman"/>
        <family val="0"/>
        <charset val="1"/>
      </rPr>
      <t xml:space="preserve">Table S5. </t>
    </r>
    <r>
      <rPr>
        <sz val="12"/>
        <color theme="1"/>
        <rFont val="Times New Roman"/>
        <family val="0"/>
        <charset val="1"/>
      </rPr>
      <t xml:space="preserve">Statistical results for sex-ratios in each urbanization level and for each species</t>
    </r>
    <r>
      <rPr>
        <b val="true"/>
        <sz val="12"/>
        <color theme="1"/>
        <rFont val="Times New Roman"/>
        <family val="0"/>
        <charset val="1"/>
      </rPr>
      <t xml:space="preserve">. </t>
    </r>
    <r>
      <rPr>
        <sz val="12"/>
        <color theme="1"/>
        <rFont val="Times New Roman"/>
        <family val="0"/>
        <charset val="1"/>
      </rPr>
      <t xml:space="preserve">Bold values are significant (p &lt;0.05)</t>
    </r>
  </si>
  <si>
    <t xml:space="preserve">Site</t>
  </si>
  <si>
    <t xml:space="preserve">% of males</t>
  </si>
  <si>
    <t xml:space="preserve">chisquare (χ2)</t>
  </si>
  <si>
    <t xml:space="preserve">p-value</t>
  </si>
  <si>
    <t xml:space="preserve">A. sericeus</t>
  </si>
  <si>
    <t xml:space="preserve">0.001*</t>
  </si>
  <si>
    <t xml:space="preserve">C. calcarata</t>
  </si>
  <si>
    <t xml:space="preserve">&lt; 0.001</t>
  </si>
  <si>
    <t xml:space="preserve">B. griseocollis</t>
  </si>
  <si>
    <t xml:space="preserve"> 71%</t>
  </si>
  <si>
    <t xml:space="preserve"> 60%</t>
  </si>
  <si>
    <t xml:space="preserve"> 53%</t>
  </si>
  <si>
    <t xml:space="preserve">B. impatiens</t>
  </si>
  <si>
    <t xml:space="preserve"> 26.042</t>
  </si>
  <si>
    <t xml:space="preserve">E. pruinosa</t>
  </si>
  <si>
    <t xml:space="preserve"> 46%</t>
  </si>
  <si>
    <t xml:space="preserve"> 72%</t>
  </si>
  <si>
    <t xml:space="preserve"> 47%</t>
  </si>
  <si>
    <r>
      <rPr>
        <b val="true"/>
        <sz val="12"/>
        <color theme="1"/>
        <rFont val="Times New Roman"/>
        <family val="0"/>
        <charset val="1"/>
      </rPr>
      <t xml:space="preserve">Table S6</t>
    </r>
    <r>
      <rPr>
        <sz val="12"/>
        <color theme="1"/>
        <rFont val="Times New Roman"/>
        <family val="0"/>
        <charset val="1"/>
      </rPr>
      <t xml:space="preserve">. Mean wing wear and body size values for each functional trait</t>
    </r>
  </si>
  <si>
    <t xml:space="preserve">Functional trait</t>
  </si>
  <si>
    <t xml:space="preserve">Mean wing wear</t>
  </si>
  <si>
    <t xml:space="preserve">SD</t>
  </si>
  <si>
    <t xml:space="preserve">t</t>
  </si>
  <si>
    <t xml:space="preserve">Mean ITD</t>
  </si>
  <si>
    <r>
      <rPr>
        <b val="true"/>
        <sz val="12"/>
        <color theme="1"/>
        <rFont val="Times New Roman"/>
        <family val="0"/>
        <charset val="1"/>
      </rPr>
      <t xml:space="preserve">Table S7. </t>
    </r>
    <r>
      <rPr>
        <sz val="12"/>
        <color theme="1"/>
        <rFont val="Times New Roman"/>
        <family val="0"/>
        <charset val="1"/>
      </rPr>
      <t xml:space="preserve">ANOVA results for body size and wing wear across all urbanization levels by season (spring and summer) for bivoltine species</t>
    </r>
  </si>
  <si>
    <t xml:space="preserve">Body size x urbanization</t>
  </si>
  <si>
    <t xml:space="preserve">Female spring</t>
  </si>
  <si>
    <t xml:space="preserve">Female summer</t>
  </si>
  <si>
    <t xml:space="preserve">F</t>
  </si>
  <si>
    <t xml:space="preserve">p value</t>
  </si>
  <si>
    <t xml:space="preserve">Wing wear x urbanization</t>
  </si>
  <si>
    <r>
      <rPr>
        <b val="true"/>
        <sz val="12"/>
        <color theme="1"/>
        <rFont val="Times New Roman"/>
        <family val="0"/>
        <charset val="1"/>
      </rPr>
      <t xml:space="preserve">Table S8. A</t>
    </r>
    <r>
      <rPr>
        <sz val="12"/>
        <color theme="1"/>
        <rFont val="Times New Roman"/>
        <family val="0"/>
        <charset val="1"/>
      </rPr>
      <t xml:space="preserve">NOVA and GLM results from fourth-corner analysis </t>
    </r>
  </si>
  <si>
    <t xml:space="preserve">Enviroment:Trait</t>
  </si>
  <si>
    <t xml:space="preserve">interaction coefficient</t>
  </si>
  <si>
    <t xml:space="preserve">wald value</t>
  </si>
  <si>
    <t xml:space="preserve">Pr(&gt;wald)</t>
  </si>
  <si>
    <t xml:space="preserve">(Intercept)</t>
  </si>
  <si>
    <t xml:space="preserve">IntensityLow.body.sizeSmall</t>
  </si>
  <si>
    <t xml:space="preserve">IntensityLow.dietPolylectic</t>
  </si>
  <si>
    <t xml:space="preserve">IntensityLow.nestGround</t>
  </si>
  <si>
    <t xml:space="preserve">IntensityLow.socialitySolitary</t>
  </si>
  <si>
    <t xml:space="preserve">IntensityLow.voltinismunivoltine</t>
  </si>
  <si>
    <t xml:space="preserve">IntensityMedium.body.sizeSmall</t>
  </si>
  <si>
    <t xml:space="preserve">IntensityMedium.dietPolylectic</t>
  </si>
  <si>
    <t xml:space="preserve">IntensityMedium.nestGround</t>
  </si>
  <si>
    <t xml:space="preserve">IntensityMedium.socialitySolitary</t>
  </si>
  <si>
    <t xml:space="preserve">IntensityMedium.voltinismunivoltine</t>
  </si>
  <si>
    <t xml:space="preserve">Perc_grass.body.sizeSmall</t>
  </si>
  <si>
    <t xml:space="preserve">Perc_grass.dietPolylectic</t>
  </si>
  <si>
    <t xml:space="preserve">Perc_grass.nestGround</t>
  </si>
  <si>
    <t xml:space="preserve">Perc_grass.socialitySolitary</t>
  </si>
  <si>
    <t xml:space="preserve">Perc_grass.voltinismunivoltine</t>
  </si>
  <si>
    <t xml:space="preserve">Perc_shrub.body.sizeSmall</t>
  </si>
  <si>
    <t xml:space="preserve">Perc_shrub.dietPolylectic</t>
  </si>
  <si>
    <t xml:space="preserve">Perc_shrub.nestGround</t>
  </si>
  <si>
    <t xml:space="preserve">Perc_shrub.socialitySolitary</t>
  </si>
  <si>
    <t xml:space="preserve">Perc_shrub.voltinismunivoltine</t>
  </si>
  <si>
    <t xml:space="preserve">Perc_tree.body.sizeSmall</t>
  </si>
  <si>
    <t xml:space="preserve">Perc_tree.dietPolylectic</t>
  </si>
  <si>
    <t xml:space="preserve">Perc_tree.nestGround</t>
  </si>
  <si>
    <t xml:space="preserve">Perc_tree.socialitySolitary</t>
  </si>
  <si>
    <t xml:space="preserve">Perc_tree.voltinismunivoltine</t>
  </si>
  <si>
    <t xml:space="preserve">Plant_rich.body.sizeSmall</t>
  </si>
  <si>
    <t xml:space="preserve">Plant_rich.dietPolylectic</t>
  </si>
  <si>
    <t xml:space="preserve">Plant_rich.nestGround</t>
  </si>
  <si>
    <t xml:space="preserve">Plant_rich.socialitySolitary</t>
  </si>
  <si>
    <t xml:space="preserve">Plant_rich.voltinismunivoltine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</si>
</sst>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"/>
  </numFmts>
  <fonts count="1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10"/>
      <color rgb="FF000000"/>
      <name val="Garamond"/>
      <family val="1"/>
      <charset val="1"/>
    </font>
    <font>
      <b val="true"/>
      <sz val="10"/>
      <color rgb="FF000000"/>
      <name val="Garamond"/>
      <family val="1"/>
      <charset val="1"/>
    </font>
    <font>
      <u val="single"/>
      <sz val="12"/>
      <color theme="1"/>
      <name val="Times New Roman"/>
      <family val="0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  <font>
      <vertAlign val="superscript"/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theme="1"/>
      <name val="Calibri"/>
      <family val="2"/>
      <charset val="1"/>
    </font>
    <font>
      <sz val="12"/>
      <color rgb="FF000000"/>
      <name val="Arial"/>
      <family val="2"/>
      <charset val="1"/>
    </font>
    <font>
      <i val="true"/>
      <sz val="12"/>
      <color theme="1"/>
      <name val="Times New Roman"/>
      <family val="0"/>
      <charset val="1"/>
    </font>
    <font>
      <i val="true"/>
      <sz val="12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4"/>
  <sheetViews>
    <sheetView showFormulas="false" showGridLines="true" showRowColHeaders="true" showZeros="true" rightToLeft="false" tabSelected="false" showOutlineSymbols="true" defaultGridColor="true" view="normal" topLeftCell="A246" colorId="64" zoomScale="100" zoomScaleNormal="100" zoomScalePageLayoutView="100" workbookViewId="0">
      <selection pane="topLeft" activeCell="D262" activeCellId="0" sqref="D262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17.5"/>
  </cols>
  <sheetData>
    <row r="1" s="1" customFormat="true" ht="17.9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2"/>
      <c r="B2" s="3" t="s">
        <v>1</v>
      </c>
      <c r="C2" s="3"/>
      <c r="D2" s="3"/>
      <c r="E2" s="3"/>
    </row>
    <row r="3" customFormat="false" ht="15.75" hidden="false" customHeight="false" outlineLevel="0" collapsed="false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customFormat="false" ht="15.75" hidden="false" customHeight="false" outlineLevel="0" collapsed="false">
      <c r="A4" s="6" t="s">
        <v>7</v>
      </c>
      <c r="B4" s="7" t="n">
        <v>1</v>
      </c>
      <c r="C4" s="7" t="n">
        <v>0</v>
      </c>
      <c r="D4" s="7" t="n">
        <v>21</v>
      </c>
      <c r="E4" s="7" t="n">
        <v>22</v>
      </c>
    </row>
    <row r="5" customFormat="false" ht="15.75" hidden="false" customHeight="false" outlineLevel="0" collapsed="false">
      <c r="A5" s="4" t="s">
        <v>8</v>
      </c>
      <c r="B5" s="7" t="n">
        <v>1</v>
      </c>
      <c r="C5" s="7" t="n">
        <v>0</v>
      </c>
      <c r="D5" s="7" t="n">
        <v>19</v>
      </c>
      <c r="E5" s="7" t="n">
        <v>20</v>
      </c>
    </row>
    <row r="6" customFormat="false" ht="15.75" hidden="false" customHeight="false" outlineLevel="0" collapsed="false">
      <c r="A6" s="4" t="s">
        <v>9</v>
      </c>
      <c r="B6" s="7" t="n">
        <v>0</v>
      </c>
      <c r="C6" s="7" t="n">
        <v>0</v>
      </c>
      <c r="D6" s="7" t="n">
        <v>2</v>
      </c>
      <c r="E6" s="7" t="n">
        <v>2</v>
      </c>
    </row>
    <row r="7" customFormat="false" ht="15.75" hidden="false" customHeight="false" outlineLevel="0" collapsed="false">
      <c r="A7" s="6" t="s">
        <v>10</v>
      </c>
      <c r="B7" s="7" t="n">
        <v>16</v>
      </c>
      <c r="C7" s="7" t="n">
        <v>2</v>
      </c>
      <c r="D7" s="7" t="n">
        <v>7</v>
      </c>
      <c r="E7" s="7" t="n">
        <v>25</v>
      </c>
    </row>
    <row r="8" customFormat="false" ht="15.75" hidden="false" customHeight="false" outlineLevel="0" collapsed="false">
      <c r="A8" s="4" t="s">
        <v>11</v>
      </c>
      <c r="B8" s="7" t="n">
        <v>16</v>
      </c>
      <c r="C8" s="7" t="n">
        <v>2</v>
      </c>
      <c r="D8" s="7" t="n">
        <v>7</v>
      </c>
      <c r="E8" s="7" t="n">
        <v>25</v>
      </c>
    </row>
    <row r="9" customFormat="false" ht="15.75" hidden="false" customHeight="false" outlineLevel="0" collapsed="false">
      <c r="A9" s="6" t="s">
        <v>12</v>
      </c>
      <c r="B9" s="7" t="n">
        <v>42</v>
      </c>
      <c r="C9" s="7" t="n">
        <v>33</v>
      </c>
      <c r="D9" s="7" t="n">
        <v>54</v>
      </c>
      <c r="E9" s="7" t="n">
        <v>129</v>
      </c>
    </row>
    <row r="10" customFormat="false" ht="15.75" hidden="false" customHeight="false" outlineLevel="0" collapsed="false">
      <c r="A10" s="4" t="s">
        <v>13</v>
      </c>
      <c r="B10" s="7" t="n">
        <v>2</v>
      </c>
      <c r="C10" s="7" t="n">
        <v>1</v>
      </c>
      <c r="D10" s="7" t="n">
        <v>1</v>
      </c>
      <c r="E10" s="7" t="n">
        <v>4</v>
      </c>
    </row>
    <row r="11" customFormat="false" ht="15.75" hidden="false" customHeight="false" outlineLevel="0" collapsed="false">
      <c r="A11" s="4" t="s">
        <v>14</v>
      </c>
      <c r="B11" s="7" t="n">
        <v>3</v>
      </c>
      <c r="C11" s="7" t="n">
        <v>10</v>
      </c>
      <c r="D11" s="7" t="n">
        <v>5</v>
      </c>
      <c r="E11" s="7" t="n">
        <v>18</v>
      </c>
    </row>
    <row r="12" customFormat="false" ht="15.75" hidden="false" customHeight="false" outlineLevel="0" collapsed="false">
      <c r="A12" s="4" t="s">
        <v>15</v>
      </c>
      <c r="B12" s="7" t="n">
        <v>0</v>
      </c>
      <c r="C12" s="7" t="n">
        <v>0</v>
      </c>
      <c r="D12" s="7" t="n">
        <v>2</v>
      </c>
      <c r="E12" s="7" t="n">
        <v>2</v>
      </c>
    </row>
    <row r="13" customFormat="false" ht="15.75" hidden="false" customHeight="false" outlineLevel="0" collapsed="false">
      <c r="A13" s="4" t="s">
        <v>16</v>
      </c>
      <c r="B13" s="7" t="n">
        <v>31</v>
      </c>
      <c r="C13" s="7" t="n">
        <v>0</v>
      </c>
      <c r="D13" s="7" t="n">
        <v>0</v>
      </c>
      <c r="E13" s="7" t="n">
        <v>31</v>
      </c>
    </row>
    <row r="14" customFormat="false" ht="15.75" hidden="false" customHeight="false" outlineLevel="0" collapsed="false">
      <c r="A14" s="4" t="s">
        <v>17</v>
      </c>
      <c r="B14" s="7" t="n">
        <v>3</v>
      </c>
      <c r="C14" s="7" t="n">
        <v>13</v>
      </c>
      <c r="D14" s="7" t="n">
        <v>5</v>
      </c>
      <c r="E14" s="7" t="n">
        <v>21</v>
      </c>
    </row>
    <row r="15" customFormat="false" ht="15.75" hidden="false" customHeight="false" outlineLevel="0" collapsed="false">
      <c r="A15" s="4" t="s">
        <v>18</v>
      </c>
      <c r="B15" s="7" t="n">
        <v>0</v>
      </c>
      <c r="C15" s="7" t="n">
        <v>0</v>
      </c>
      <c r="D15" s="7" t="n">
        <v>39</v>
      </c>
      <c r="E15" s="7" t="n">
        <v>39</v>
      </c>
    </row>
    <row r="16" customFormat="false" ht="15.75" hidden="false" customHeight="false" outlineLevel="0" collapsed="false">
      <c r="A16" s="4" t="s">
        <v>19</v>
      </c>
      <c r="B16" s="7" t="n">
        <v>3</v>
      </c>
      <c r="C16" s="7" t="n">
        <v>9</v>
      </c>
      <c r="D16" s="7" t="n">
        <v>2</v>
      </c>
      <c r="E16" s="7" t="n">
        <v>14</v>
      </c>
    </row>
    <row r="17" customFormat="false" ht="15.75" hidden="false" customHeight="false" outlineLevel="0" collapsed="false">
      <c r="A17" s="6" t="s">
        <v>20</v>
      </c>
      <c r="B17" s="7" t="n">
        <v>32</v>
      </c>
      <c r="C17" s="7" t="n">
        <v>60</v>
      </c>
      <c r="D17" s="7" t="n">
        <v>4</v>
      </c>
      <c r="E17" s="7" t="n">
        <v>96</v>
      </c>
    </row>
    <row r="18" customFormat="false" ht="15.75" hidden="false" customHeight="false" outlineLevel="0" collapsed="false">
      <c r="A18" s="4" t="s">
        <v>21</v>
      </c>
      <c r="B18" s="7" t="n">
        <v>0</v>
      </c>
      <c r="C18" s="7" t="n">
        <v>5</v>
      </c>
      <c r="D18" s="7" t="n">
        <v>0</v>
      </c>
      <c r="E18" s="7" t="n">
        <v>5</v>
      </c>
    </row>
    <row r="19" customFormat="false" ht="15.75" hidden="false" customHeight="false" outlineLevel="0" collapsed="false">
      <c r="A19" s="4" t="s">
        <v>22</v>
      </c>
      <c r="B19" s="7" t="n">
        <v>2</v>
      </c>
      <c r="C19" s="7" t="n">
        <v>2</v>
      </c>
      <c r="D19" s="7" t="n">
        <v>0</v>
      </c>
      <c r="E19" s="7" t="n">
        <v>4</v>
      </c>
    </row>
    <row r="20" customFormat="false" ht="15.75" hidden="false" customHeight="false" outlineLevel="0" collapsed="false">
      <c r="A20" s="4" t="s">
        <v>23</v>
      </c>
      <c r="B20" s="7" t="n">
        <v>30</v>
      </c>
      <c r="C20" s="7" t="n">
        <v>47</v>
      </c>
      <c r="D20" s="7" t="n">
        <v>4</v>
      </c>
      <c r="E20" s="7" t="n">
        <v>81</v>
      </c>
    </row>
    <row r="21" customFormat="false" ht="15.75" hidden="false" customHeight="false" outlineLevel="0" collapsed="false">
      <c r="A21" s="4" t="s">
        <v>24</v>
      </c>
      <c r="B21" s="7" t="n">
        <v>0</v>
      </c>
      <c r="C21" s="7" t="n">
        <v>6</v>
      </c>
      <c r="D21" s="7" t="n">
        <v>0</v>
      </c>
      <c r="E21" s="7" t="n">
        <v>6</v>
      </c>
    </row>
    <row r="22" customFormat="false" ht="15.75" hidden="false" customHeight="false" outlineLevel="0" collapsed="false">
      <c r="A22" s="6" t="s">
        <v>25</v>
      </c>
      <c r="B22" s="7" t="n">
        <v>16</v>
      </c>
      <c r="C22" s="7" t="n">
        <v>32</v>
      </c>
      <c r="D22" s="7" t="n">
        <v>1</v>
      </c>
      <c r="E22" s="7" t="n">
        <v>49</v>
      </c>
    </row>
    <row r="23" customFormat="false" ht="15.75" hidden="false" customHeight="false" outlineLevel="0" collapsed="false">
      <c r="A23" s="4" t="s">
        <v>26</v>
      </c>
      <c r="B23" s="7" t="n">
        <v>0</v>
      </c>
      <c r="C23" s="7" t="n">
        <v>2</v>
      </c>
      <c r="D23" s="7" t="n">
        <v>0</v>
      </c>
      <c r="E23" s="7" t="n">
        <v>2</v>
      </c>
    </row>
    <row r="24" customFormat="false" ht="15.75" hidden="false" customHeight="false" outlineLevel="0" collapsed="false">
      <c r="A24" s="4" t="s">
        <v>27</v>
      </c>
      <c r="B24" s="7" t="n">
        <v>13</v>
      </c>
      <c r="C24" s="7" t="n">
        <v>25</v>
      </c>
      <c r="D24" s="7" t="n">
        <v>0</v>
      </c>
      <c r="E24" s="7" t="n">
        <v>38</v>
      </c>
    </row>
    <row r="25" customFormat="false" ht="15.75" hidden="false" customHeight="false" outlineLevel="0" collapsed="false">
      <c r="A25" s="4" t="s">
        <v>28</v>
      </c>
      <c r="B25" s="7" t="n">
        <v>1</v>
      </c>
      <c r="C25" s="7" t="n">
        <v>0</v>
      </c>
      <c r="D25" s="7" t="n">
        <v>0</v>
      </c>
      <c r="E25" s="7" t="n">
        <v>1</v>
      </c>
    </row>
    <row r="26" customFormat="false" ht="15.75" hidden="false" customHeight="false" outlineLevel="0" collapsed="false">
      <c r="A26" s="4" t="s">
        <v>29</v>
      </c>
      <c r="B26" s="7" t="n">
        <v>2</v>
      </c>
      <c r="C26" s="7" t="n">
        <v>0</v>
      </c>
      <c r="D26" s="7" t="n">
        <v>0</v>
      </c>
      <c r="E26" s="7" t="n">
        <v>2</v>
      </c>
    </row>
    <row r="27" customFormat="false" ht="15.75" hidden="false" customHeight="false" outlineLevel="0" collapsed="false">
      <c r="A27" s="4" t="s">
        <v>30</v>
      </c>
      <c r="B27" s="7" t="n">
        <v>0</v>
      </c>
      <c r="C27" s="7" t="n">
        <v>5</v>
      </c>
      <c r="D27" s="7" t="n">
        <v>0</v>
      </c>
      <c r="E27" s="7" t="n">
        <v>5</v>
      </c>
    </row>
    <row r="28" customFormat="false" ht="15.75" hidden="false" customHeight="false" outlineLevel="0" collapsed="false">
      <c r="A28" s="4" t="s">
        <v>31</v>
      </c>
      <c r="B28" s="7" t="n">
        <v>0</v>
      </c>
      <c r="C28" s="7" t="n">
        <v>0</v>
      </c>
      <c r="D28" s="7" t="n">
        <v>1</v>
      </c>
      <c r="E28" s="7" t="n">
        <v>1</v>
      </c>
    </row>
    <row r="29" customFormat="false" ht="15.75" hidden="false" customHeight="false" outlineLevel="0" collapsed="false">
      <c r="A29" s="6" t="s">
        <v>32</v>
      </c>
      <c r="B29" s="7" t="n">
        <v>4</v>
      </c>
      <c r="C29" s="7" t="n">
        <v>7</v>
      </c>
      <c r="D29" s="7" t="n">
        <v>2</v>
      </c>
      <c r="E29" s="7" t="n">
        <v>13</v>
      </c>
    </row>
    <row r="30" customFormat="false" ht="15.75" hidden="false" customHeight="false" outlineLevel="0" collapsed="false">
      <c r="A30" s="4" t="s">
        <v>33</v>
      </c>
      <c r="B30" s="7" t="n">
        <v>4</v>
      </c>
      <c r="C30" s="7" t="n">
        <v>7</v>
      </c>
      <c r="D30" s="7" t="n">
        <v>2</v>
      </c>
      <c r="E30" s="7" t="n">
        <v>13</v>
      </c>
    </row>
    <row r="31" customFormat="false" ht="15.75" hidden="false" customHeight="false" outlineLevel="0" collapsed="false">
      <c r="A31" s="6" t="s">
        <v>34</v>
      </c>
      <c r="B31" s="7" t="n">
        <v>354</v>
      </c>
      <c r="C31" s="7" t="n">
        <v>612</v>
      </c>
      <c r="D31" s="7" t="n">
        <v>709</v>
      </c>
      <c r="E31" s="7" t="n">
        <v>1675</v>
      </c>
    </row>
    <row r="32" customFormat="false" ht="15.75" hidden="false" customHeight="false" outlineLevel="0" collapsed="false">
      <c r="A32" s="4" t="s">
        <v>35</v>
      </c>
      <c r="B32" s="7" t="n">
        <v>4</v>
      </c>
      <c r="C32" s="7" t="n">
        <v>15</v>
      </c>
      <c r="D32" s="7" t="n">
        <v>1</v>
      </c>
      <c r="E32" s="7" t="n">
        <v>20</v>
      </c>
    </row>
    <row r="33" customFormat="false" ht="15.75" hidden="false" customHeight="false" outlineLevel="0" collapsed="false">
      <c r="A33" s="4" t="s">
        <v>36</v>
      </c>
      <c r="B33" s="7" t="n">
        <v>1</v>
      </c>
      <c r="C33" s="7" t="n">
        <v>0</v>
      </c>
      <c r="D33" s="7" t="n">
        <v>0</v>
      </c>
      <c r="E33" s="7" t="n">
        <v>1</v>
      </c>
    </row>
    <row r="34" customFormat="false" ht="15.75" hidden="false" customHeight="false" outlineLevel="0" collapsed="false">
      <c r="A34" s="4" t="s">
        <v>37</v>
      </c>
      <c r="B34" s="7" t="n">
        <v>13</v>
      </c>
      <c r="C34" s="7" t="n">
        <v>0</v>
      </c>
      <c r="D34" s="7" t="n">
        <v>0</v>
      </c>
      <c r="E34" s="7" t="n">
        <v>13</v>
      </c>
    </row>
    <row r="35" customFormat="false" ht="15.75" hidden="false" customHeight="false" outlineLevel="0" collapsed="false">
      <c r="A35" s="4" t="s">
        <v>38</v>
      </c>
      <c r="B35" s="7" t="n">
        <v>0</v>
      </c>
      <c r="C35" s="7" t="n">
        <v>2</v>
      </c>
      <c r="D35" s="7" t="n">
        <v>1</v>
      </c>
      <c r="E35" s="7" t="n">
        <v>3</v>
      </c>
    </row>
    <row r="36" customFormat="false" ht="15.75" hidden="false" customHeight="false" outlineLevel="0" collapsed="false">
      <c r="A36" s="4" t="s">
        <v>39</v>
      </c>
      <c r="B36" s="7" t="n">
        <v>0</v>
      </c>
      <c r="C36" s="7" t="n">
        <v>0</v>
      </c>
      <c r="D36" s="7" t="n">
        <v>40</v>
      </c>
      <c r="E36" s="7" t="n">
        <v>40</v>
      </c>
    </row>
    <row r="37" customFormat="false" ht="15.75" hidden="false" customHeight="false" outlineLevel="0" collapsed="false">
      <c r="A37" s="4" t="s">
        <v>40</v>
      </c>
      <c r="B37" s="7" t="n">
        <v>0</v>
      </c>
      <c r="C37" s="7" t="n">
        <v>0</v>
      </c>
      <c r="D37" s="7" t="n">
        <v>11</v>
      </c>
      <c r="E37" s="7" t="n">
        <v>11</v>
      </c>
    </row>
    <row r="38" customFormat="false" ht="15.75" hidden="false" customHeight="false" outlineLevel="0" collapsed="false">
      <c r="A38" s="4" t="s">
        <v>41</v>
      </c>
      <c r="B38" s="7" t="n">
        <v>0</v>
      </c>
      <c r="C38" s="7" t="n">
        <v>5</v>
      </c>
      <c r="D38" s="7" t="n">
        <v>7</v>
      </c>
      <c r="E38" s="7" t="n">
        <v>12</v>
      </c>
    </row>
    <row r="39" customFormat="false" ht="15.75" hidden="false" customHeight="false" outlineLevel="0" collapsed="false">
      <c r="A39" s="4" t="s">
        <v>42</v>
      </c>
      <c r="B39" s="7" t="n">
        <v>4</v>
      </c>
      <c r="C39" s="7" t="n">
        <v>19</v>
      </c>
      <c r="D39" s="7" t="n">
        <v>69</v>
      </c>
      <c r="E39" s="7" t="n">
        <v>92</v>
      </c>
    </row>
    <row r="40" customFormat="false" ht="15.75" hidden="false" customHeight="false" outlineLevel="0" collapsed="false">
      <c r="A40" s="4" t="s">
        <v>43</v>
      </c>
      <c r="B40" s="7" t="n">
        <v>27</v>
      </c>
      <c r="C40" s="7" t="n">
        <v>18</v>
      </c>
      <c r="D40" s="7" t="n">
        <v>6</v>
      </c>
      <c r="E40" s="7" t="n">
        <v>51</v>
      </c>
    </row>
    <row r="41" customFormat="false" ht="15.75" hidden="false" customHeight="false" outlineLevel="0" collapsed="false">
      <c r="A41" s="4" t="s">
        <v>44</v>
      </c>
      <c r="B41" s="7" t="n">
        <v>5</v>
      </c>
      <c r="C41" s="7" t="n">
        <v>5</v>
      </c>
      <c r="D41" s="7" t="n">
        <v>0</v>
      </c>
      <c r="E41" s="7" t="n">
        <v>10</v>
      </c>
    </row>
    <row r="42" customFormat="false" ht="15.75" hidden="false" customHeight="false" outlineLevel="0" collapsed="false">
      <c r="A42" s="4" t="s">
        <v>45</v>
      </c>
      <c r="B42" s="7" t="n">
        <v>21</v>
      </c>
      <c r="C42" s="7" t="n">
        <v>8</v>
      </c>
      <c r="D42" s="7" t="n">
        <v>14</v>
      </c>
      <c r="E42" s="7" t="n">
        <v>43</v>
      </c>
    </row>
    <row r="43" customFormat="false" ht="15.75" hidden="false" customHeight="false" outlineLevel="0" collapsed="false">
      <c r="A43" s="4" t="s">
        <v>46</v>
      </c>
      <c r="B43" s="7" t="n">
        <v>32</v>
      </c>
      <c r="C43" s="7" t="n">
        <v>29</v>
      </c>
      <c r="D43" s="7" t="n">
        <v>8</v>
      </c>
      <c r="E43" s="7" t="n">
        <v>69</v>
      </c>
    </row>
    <row r="44" customFormat="false" ht="15.75" hidden="false" customHeight="false" outlineLevel="0" collapsed="false">
      <c r="A44" s="4" t="s">
        <v>47</v>
      </c>
      <c r="B44" s="7" t="n">
        <v>11</v>
      </c>
      <c r="C44" s="7" t="n">
        <v>0</v>
      </c>
      <c r="D44" s="7" t="n">
        <v>0</v>
      </c>
      <c r="E44" s="7" t="n">
        <v>11</v>
      </c>
    </row>
    <row r="45" customFormat="false" ht="15.75" hidden="false" customHeight="false" outlineLevel="0" collapsed="false">
      <c r="A45" s="4" t="s">
        <v>48</v>
      </c>
      <c r="B45" s="7" t="n">
        <v>6</v>
      </c>
      <c r="C45" s="7" t="n">
        <v>66</v>
      </c>
      <c r="D45" s="7" t="n">
        <v>25</v>
      </c>
      <c r="E45" s="7" t="n">
        <v>97</v>
      </c>
    </row>
    <row r="46" customFormat="false" ht="15.75" hidden="false" customHeight="false" outlineLevel="0" collapsed="false">
      <c r="A46" s="4" t="s">
        <v>49</v>
      </c>
      <c r="B46" s="7" t="n">
        <v>28</v>
      </c>
      <c r="C46" s="7" t="n">
        <v>12</v>
      </c>
      <c r="D46" s="7" t="n">
        <v>0</v>
      </c>
      <c r="E46" s="7" t="n">
        <v>40</v>
      </c>
    </row>
    <row r="47" customFormat="false" ht="15.75" hidden="false" customHeight="false" outlineLevel="0" collapsed="false">
      <c r="A47" s="4" t="s">
        <v>50</v>
      </c>
      <c r="B47" s="7" t="n">
        <v>0</v>
      </c>
      <c r="C47" s="7" t="n">
        <v>13</v>
      </c>
      <c r="D47" s="7" t="n">
        <v>0</v>
      </c>
      <c r="E47" s="7" t="n">
        <v>13</v>
      </c>
    </row>
    <row r="48" customFormat="false" ht="15.75" hidden="false" customHeight="false" outlineLevel="0" collapsed="false">
      <c r="A48" s="4" t="s">
        <v>51</v>
      </c>
      <c r="B48" s="7" t="n">
        <v>11</v>
      </c>
      <c r="C48" s="7" t="n">
        <v>3</v>
      </c>
      <c r="D48" s="7" t="n">
        <v>2</v>
      </c>
      <c r="E48" s="7" t="n">
        <v>16</v>
      </c>
    </row>
    <row r="49" customFormat="false" ht="15.75" hidden="false" customHeight="false" outlineLevel="0" collapsed="false">
      <c r="A49" s="4" t="s">
        <v>52</v>
      </c>
      <c r="B49" s="7" t="n">
        <v>3</v>
      </c>
      <c r="C49" s="7" t="n">
        <v>0</v>
      </c>
      <c r="D49" s="7" t="n">
        <v>0</v>
      </c>
      <c r="E49" s="7" t="n">
        <v>3</v>
      </c>
    </row>
    <row r="50" customFormat="false" ht="15.75" hidden="false" customHeight="false" outlineLevel="0" collapsed="false">
      <c r="A50" s="4" t="s">
        <v>53</v>
      </c>
      <c r="B50" s="7" t="n">
        <v>0</v>
      </c>
      <c r="C50" s="7" t="n">
        <v>0</v>
      </c>
      <c r="D50" s="7" t="n">
        <v>3</v>
      </c>
      <c r="E50" s="7" t="n">
        <v>3</v>
      </c>
    </row>
    <row r="51" customFormat="false" ht="15.75" hidden="false" customHeight="false" outlineLevel="0" collapsed="false">
      <c r="A51" s="4" t="s">
        <v>54</v>
      </c>
      <c r="B51" s="7" t="n">
        <v>0</v>
      </c>
      <c r="C51" s="7" t="n">
        <v>0</v>
      </c>
      <c r="D51" s="7" t="n">
        <v>4</v>
      </c>
      <c r="E51" s="7" t="n">
        <v>4</v>
      </c>
    </row>
    <row r="52" customFormat="false" ht="15.75" hidden="false" customHeight="false" outlineLevel="0" collapsed="false">
      <c r="A52" s="4" t="s">
        <v>55</v>
      </c>
      <c r="B52" s="7" t="n">
        <v>21</v>
      </c>
      <c r="C52" s="7" t="n">
        <v>9</v>
      </c>
      <c r="D52" s="7" t="n">
        <v>82</v>
      </c>
      <c r="E52" s="7" t="n">
        <v>112</v>
      </c>
    </row>
    <row r="53" customFormat="false" ht="15.75" hidden="false" customHeight="false" outlineLevel="0" collapsed="false">
      <c r="A53" s="4" t="s">
        <v>56</v>
      </c>
      <c r="B53" s="7" t="n">
        <v>26</v>
      </c>
      <c r="C53" s="7" t="n">
        <v>9</v>
      </c>
      <c r="D53" s="7" t="n">
        <v>4</v>
      </c>
      <c r="E53" s="7" t="n">
        <v>39</v>
      </c>
    </row>
    <row r="54" customFormat="false" ht="15.75" hidden="false" customHeight="false" outlineLevel="0" collapsed="false">
      <c r="A54" s="4" t="s">
        <v>57</v>
      </c>
      <c r="B54" s="7" t="n">
        <v>0</v>
      </c>
      <c r="C54" s="7" t="n">
        <v>1</v>
      </c>
      <c r="D54" s="7" t="n">
        <v>0</v>
      </c>
      <c r="E54" s="7" t="n">
        <v>1</v>
      </c>
    </row>
    <row r="55" customFormat="false" ht="15.75" hidden="false" customHeight="false" outlineLevel="0" collapsed="false">
      <c r="A55" s="4" t="s">
        <v>58</v>
      </c>
      <c r="B55" s="7" t="n">
        <v>6</v>
      </c>
      <c r="C55" s="7" t="n">
        <v>0</v>
      </c>
      <c r="D55" s="7" t="n">
        <v>0</v>
      </c>
      <c r="E55" s="7" t="n">
        <v>6</v>
      </c>
    </row>
    <row r="56" customFormat="false" ht="15.75" hidden="false" customHeight="false" outlineLevel="0" collapsed="false">
      <c r="A56" s="4" t="s">
        <v>59</v>
      </c>
      <c r="B56" s="7" t="n">
        <v>1</v>
      </c>
      <c r="C56" s="7" t="n">
        <v>10</v>
      </c>
      <c r="D56" s="7" t="n">
        <v>3</v>
      </c>
      <c r="E56" s="7" t="n">
        <v>14</v>
      </c>
    </row>
    <row r="57" customFormat="false" ht="15.75" hidden="false" customHeight="false" outlineLevel="0" collapsed="false">
      <c r="A57" s="4" t="s">
        <v>60</v>
      </c>
      <c r="B57" s="7" t="n">
        <v>0</v>
      </c>
      <c r="C57" s="7" t="n">
        <v>0</v>
      </c>
      <c r="D57" s="7" t="n">
        <v>13</v>
      </c>
      <c r="E57" s="7" t="n">
        <v>13</v>
      </c>
    </row>
    <row r="58" customFormat="false" ht="15.75" hidden="false" customHeight="false" outlineLevel="0" collapsed="false">
      <c r="A58" s="4" t="s">
        <v>61</v>
      </c>
      <c r="B58" s="7" t="n">
        <v>0</v>
      </c>
      <c r="C58" s="7" t="n">
        <v>0</v>
      </c>
      <c r="D58" s="7" t="n">
        <v>1</v>
      </c>
      <c r="E58" s="7" t="n">
        <v>1</v>
      </c>
    </row>
    <row r="59" customFormat="false" ht="15.75" hidden="false" customHeight="false" outlineLevel="0" collapsed="false">
      <c r="A59" s="4" t="s">
        <v>62</v>
      </c>
      <c r="B59" s="7" t="n">
        <v>2</v>
      </c>
      <c r="C59" s="7" t="n">
        <v>0</v>
      </c>
      <c r="D59" s="7" t="n">
        <v>0</v>
      </c>
      <c r="E59" s="7" t="n">
        <v>2</v>
      </c>
    </row>
    <row r="60" customFormat="false" ht="15.75" hidden="false" customHeight="false" outlineLevel="0" collapsed="false">
      <c r="A60" s="4" t="s">
        <v>63</v>
      </c>
      <c r="B60" s="7" t="n">
        <v>6</v>
      </c>
      <c r="C60" s="7" t="n">
        <v>23</v>
      </c>
      <c r="D60" s="7" t="n">
        <v>72</v>
      </c>
      <c r="E60" s="7" t="n">
        <v>101</v>
      </c>
    </row>
    <row r="61" customFormat="false" ht="15.75" hidden="false" customHeight="false" outlineLevel="0" collapsed="false">
      <c r="A61" s="4" t="s">
        <v>64</v>
      </c>
      <c r="B61" s="7" t="n">
        <v>19</v>
      </c>
      <c r="C61" s="7" t="n">
        <v>2</v>
      </c>
      <c r="D61" s="7" t="n">
        <v>122</v>
      </c>
      <c r="E61" s="7" t="n">
        <v>143</v>
      </c>
    </row>
    <row r="62" customFormat="false" ht="15.75" hidden="false" customHeight="false" outlineLevel="0" collapsed="false">
      <c r="A62" s="4" t="s">
        <v>65</v>
      </c>
      <c r="B62" s="7" t="n">
        <v>74</v>
      </c>
      <c r="C62" s="7" t="n">
        <v>191</v>
      </c>
      <c r="D62" s="7" t="n">
        <v>112</v>
      </c>
      <c r="E62" s="7" t="n">
        <v>377</v>
      </c>
    </row>
    <row r="63" customFormat="false" ht="15.75" hidden="false" customHeight="false" outlineLevel="0" collapsed="false">
      <c r="A63" s="4" t="s">
        <v>66</v>
      </c>
      <c r="B63" s="7" t="n">
        <v>1</v>
      </c>
      <c r="C63" s="7" t="n">
        <v>0</v>
      </c>
      <c r="D63" s="7" t="n">
        <v>11</v>
      </c>
      <c r="E63" s="7" t="n">
        <v>12</v>
      </c>
    </row>
    <row r="64" customFormat="false" ht="15.75" hidden="false" customHeight="false" outlineLevel="0" collapsed="false">
      <c r="A64" s="4" t="s">
        <v>67</v>
      </c>
      <c r="B64" s="7" t="n">
        <v>15</v>
      </c>
      <c r="C64" s="7" t="n">
        <v>145</v>
      </c>
      <c r="D64" s="7" t="n">
        <v>24</v>
      </c>
      <c r="E64" s="7" t="n">
        <v>184</v>
      </c>
    </row>
    <row r="65" customFormat="false" ht="15.75" hidden="false" customHeight="false" outlineLevel="0" collapsed="false">
      <c r="A65" s="4" t="s">
        <v>68</v>
      </c>
      <c r="B65" s="7" t="n">
        <v>0</v>
      </c>
      <c r="C65" s="7" t="n">
        <v>1</v>
      </c>
      <c r="D65" s="7" t="n">
        <v>1</v>
      </c>
      <c r="E65" s="7" t="n">
        <v>2</v>
      </c>
    </row>
    <row r="66" customFormat="false" ht="15.75" hidden="false" customHeight="false" outlineLevel="0" collapsed="false">
      <c r="A66" s="4" t="s">
        <v>69</v>
      </c>
      <c r="B66" s="7" t="n">
        <v>2</v>
      </c>
      <c r="C66" s="7" t="n">
        <v>3</v>
      </c>
      <c r="D66" s="7" t="n">
        <v>0</v>
      </c>
      <c r="E66" s="7" t="n">
        <v>5</v>
      </c>
    </row>
    <row r="67" customFormat="false" ht="15.75" hidden="false" customHeight="false" outlineLevel="0" collapsed="false">
      <c r="A67" s="4" t="s">
        <v>70</v>
      </c>
      <c r="B67" s="7" t="n">
        <v>8</v>
      </c>
      <c r="C67" s="7" t="n">
        <v>9</v>
      </c>
      <c r="D67" s="7" t="n">
        <v>46</v>
      </c>
      <c r="E67" s="7" t="n">
        <v>63</v>
      </c>
    </row>
    <row r="68" customFormat="false" ht="15.75" hidden="false" customHeight="false" outlineLevel="0" collapsed="false">
      <c r="A68" s="4" t="s">
        <v>71</v>
      </c>
      <c r="B68" s="7" t="n">
        <v>0</v>
      </c>
      <c r="C68" s="7" t="n">
        <v>0</v>
      </c>
      <c r="D68" s="7" t="n">
        <v>22</v>
      </c>
      <c r="E68" s="7" t="n">
        <v>22</v>
      </c>
    </row>
    <row r="69" customFormat="false" ht="15.75" hidden="false" customHeight="false" outlineLevel="0" collapsed="false">
      <c r="A69" s="4" t="s">
        <v>72</v>
      </c>
      <c r="B69" s="7" t="n">
        <v>0</v>
      </c>
      <c r="C69" s="7" t="n">
        <v>0</v>
      </c>
      <c r="D69" s="7" t="n">
        <v>5</v>
      </c>
      <c r="E69" s="7" t="n">
        <v>5</v>
      </c>
    </row>
    <row r="70" customFormat="false" ht="15.75" hidden="false" customHeight="false" outlineLevel="0" collapsed="false">
      <c r="A70" s="4" t="s">
        <v>73</v>
      </c>
      <c r="B70" s="7" t="n">
        <v>7</v>
      </c>
      <c r="C70" s="7" t="n">
        <v>14</v>
      </c>
      <c r="D70" s="7" t="n">
        <v>0</v>
      </c>
      <c r="E70" s="7" t="n">
        <v>21</v>
      </c>
    </row>
    <row r="71" customFormat="false" ht="15.75" hidden="false" customHeight="false" outlineLevel="0" collapsed="false">
      <c r="A71" s="6" t="s">
        <v>74</v>
      </c>
      <c r="B71" s="7" t="n">
        <v>31</v>
      </c>
      <c r="C71" s="7" t="n">
        <v>0</v>
      </c>
      <c r="D71" s="7" t="n">
        <v>47</v>
      </c>
      <c r="E71" s="7" t="n">
        <v>78</v>
      </c>
    </row>
    <row r="72" customFormat="false" ht="15.75" hidden="false" customHeight="false" outlineLevel="0" collapsed="false">
      <c r="A72" s="4" t="s">
        <v>75</v>
      </c>
      <c r="B72" s="7" t="n">
        <v>1</v>
      </c>
      <c r="C72" s="7" t="n">
        <v>0</v>
      </c>
      <c r="D72" s="7" t="n">
        <v>0</v>
      </c>
      <c r="E72" s="7" t="n">
        <v>1</v>
      </c>
    </row>
    <row r="73" customFormat="false" ht="15.75" hidden="false" customHeight="false" outlineLevel="0" collapsed="false">
      <c r="A73" s="4" t="s">
        <v>76</v>
      </c>
      <c r="B73" s="7" t="n">
        <v>30</v>
      </c>
      <c r="C73" s="7" t="n">
        <v>0</v>
      </c>
      <c r="D73" s="7" t="n">
        <v>47</v>
      </c>
      <c r="E73" s="7" t="n">
        <v>77</v>
      </c>
    </row>
    <row r="74" customFormat="false" ht="15.75" hidden="false" customHeight="false" outlineLevel="0" collapsed="false">
      <c r="A74" s="6" t="s">
        <v>77</v>
      </c>
      <c r="B74" s="7" t="n">
        <v>0</v>
      </c>
      <c r="C74" s="7" t="n">
        <v>9</v>
      </c>
      <c r="D74" s="7" t="n">
        <v>18</v>
      </c>
      <c r="E74" s="7" t="n">
        <v>27</v>
      </c>
    </row>
    <row r="75" customFormat="false" ht="15.75" hidden="false" customHeight="false" outlineLevel="0" collapsed="false">
      <c r="A75" s="4" t="s">
        <v>78</v>
      </c>
      <c r="B75" s="7" t="n">
        <v>0</v>
      </c>
      <c r="C75" s="7" t="n">
        <v>0</v>
      </c>
      <c r="D75" s="7" t="n">
        <v>16</v>
      </c>
      <c r="E75" s="7" t="n">
        <v>16</v>
      </c>
    </row>
    <row r="76" customFormat="false" ht="15.75" hidden="false" customHeight="false" outlineLevel="0" collapsed="false">
      <c r="A76" s="4" t="s">
        <v>79</v>
      </c>
      <c r="B76" s="7" t="n">
        <v>0</v>
      </c>
      <c r="C76" s="7" t="n">
        <v>9</v>
      </c>
      <c r="D76" s="7" t="n">
        <v>2</v>
      </c>
      <c r="E76" s="7" t="n">
        <v>11</v>
      </c>
    </row>
    <row r="77" customFormat="false" ht="15.75" hidden="false" customHeight="false" outlineLevel="0" collapsed="false">
      <c r="A77" s="6" t="s">
        <v>80</v>
      </c>
      <c r="B77" s="7" t="n">
        <v>25</v>
      </c>
      <c r="C77" s="7" t="n">
        <v>3</v>
      </c>
      <c r="D77" s="7" t="n">
        <v>17</v>
      </c>
      <c r="E77" s="7" t="n">
        <v>45</v>
      </c>
    </row>
    <row r="78" customFormat="false" ht="15.75" hidden="false" customHeight="false" outlineLevel="0" collapsed="false">
      <c r="A78" s="4" t="s">
        <v>81</v>
      </c>
      <c r="B78" s="7" t="n">
        <v>0</v>
      </c>
      <c r="C78" s="7" t="n">
        <v>2</v>
      </c>
      <c r="D78" s="7" t="n">
        <v>0</v>
      </c>
      <c r="E78" s="7" t="n">
        <v>2</v>
      </c>
    </row>
    <row r="79" customFormat="false" ht="15.75" hidden="false" customHeight="false" outlineLevel="0" collapsed="false">
      <c r="A79" s="4" t="s">
        <v>82</v>
      </c>
      <c r="B79" s="7" t="n">
        <v>14</v>
      </c>
      <c r="C79" s="7" t="n">
        <v>0</v>
      </c>
      <c r="D79" s="7" t="n">
        <v>17</v>
      </c>
      <c r="E79" s="7" t="n">
        <v>31</v>
      </c>
    </row>
    <row r="80" customFormat="false" ht="15.75" hidden="false" customHeight="false" outlineLevel="0" collapsed="false">
      <c r="A80" s="4" t="s">
        <v>83</v>
      </c>
      <c r="B80" s="7" t="n">
        <v>0</v>
      </c>
      <c r="C80" s="7" t="n">
        <v>1</v>
      </c>
      <c r="D80" s="7" t="n">
        <v>0</v>
      </c>
      <c r="E80" s="7" t="n">
        <v>1</v>
      </c>
    </row>
    <row r="81" customFormat="false" ht="15.75" hidden="false" customHeight="false" outlineLevel="0" collapsed="false">
      <c r="A81" s="4" t="s">
        <v>84</v>
      </c>
      <c r="B81" s="7" t="n">
        <v>11</v>
      </c>
      <c r="C81" s="7" t="n">
        <v>0</v>
      </c>
      <c r="D81" s="7" t="n">
        <v>0</v>
      </c>
      <c r="E81" s="7" t="n">
        <v>11</v>
      </c>
    </row>
    <row r="82" customFormat="false" ht="15.75" hidden="false" customHeight="false" outlineLevel="0" collapsed="false">
      <c r="A82" s="6" t="s">
        <v>85</v>
      </c>
      <c r="B82" s="7" t="n">
        <v>32</v>
      </c>
      <c r="C82" s="7" t="n">
        <v>13</v>
      </c>
      <c r="D82" s="7" t="n">
        <v>72</v>
      </c>
      <c r="E82" s="7" t="n">
        <v>117</v>
      </c>
    </row>
    <row r="83" customFormat="false" ht="15.75" hidden="false" customHeight="false" outlineLevel="0" collapsed="false">
      <c r="A83" s="4" t="s">
        <v>86</v>
      </c>
      <c r="B83" s="7" t="n">
        <v>1</v>
      </c>
      <c r="C83" s="7" t="n">
        <v>3</v>
      </c>
      <c r="D83" s="7" t="n">
        <v>20</v>
      </c>
      <c r="E83" s="7" t="n">
        <v>24</v>
      </c>
    </row>
    <row r="84" customFormat="false" ht="15.75" hidden="false" customHeight="false" outlineLevel="0" collapsed="false">
      <c r="A84" s="4" t="s">
        <v>87</v>
      </c>
      <c r="B84" s="7" t="n">
        <v>7</v>
      </c>
      <c r="C84" s="7" t="n">
        <v>0</v>
      </c>
      <c r="D84" s="7" t="n">
        <v>21</v>
      </c>
      <c r="E84" s="7" t="n">
        <v>28</v>
      </c>
    </row>
    <row r="85" customFormat="false" ht="15.75" hidden="false" customHeight="false" outlineLevel="0" collapsed="false">
      <c r="A85" s="4" t="s">
        <v>88</v>
      </c>
      <c r="B85" s="7" t="n">
        <v>0</v>
      </c>
      <c r="C85" s="7" t="n">
        <v>8</v>
      </c>
      <c r="D85" s="7" t="n">
        <v>14</v>
      </c>
      <c r="E85" s="7" t="n">
        <v>22</v>
      </c>
    </row>
    <row r="86" customFormat="false" ht="15.75" hidden="false" customHeight="false" outlineLevel="0" collapsed="false">
      <c r="A86" s="4" t="s">
        <v>89</v>
      </c>
      <c r="B86" s="7" t="n">
        <v>13</v>
      </c>
      <c r="C86" s="7" t="n">
        <v>0</v>
      </c>
      <c r="D86" s="7" t="n">
        <v>6</v>
      </c>
      <c r="E86" s="7" t="n">
        <v>19</v>
      </c>
    </row>
    <row r="87" customFormat="false" ht="15.75" hidden="false" customHeight="false" outlineLevel="0" collapsed="false">
      <c r="A87" s="4" t="s">
        <v>90</v>
      </c>
      <c r="B87" s="7" t="n">
        <v>9</v>
      </c>
      <c r="C87" s="7" t="n">
        <v>0</v>
      </c>
      <c r="D87" s="7" t="n">
        <v>3</v>
      </c>
      <c r="E87" s="7" t="n">
        <v>12</v>
      </c>
    </row>
    <row r="88" customFormat="false" ht="15.75" hidden="false" customHeight="false" outlineLevel="0" collapsed="false">
      <c r="A88" s="4" t="s">
        <v>91</v>
      </c>
      <c r="B88" s="7" t="n">
        <v>1</v>
      </c>
      <c r="C88" s="7" t="n">
        <v>0</v>
      </c>
      <c r="D88" s="7" t="n">
        <v>0</v>
      </c>
      <c r="E88" s="7" t="n">
        <v>1</v>
      </c>
    </row>
    <row r="89" customFormat="false" ht="15.75" hidden="false" customHeight="false" outlineLevel="0" collapsed="false">
      <c r="A89" s="4" t="s">
        <v>92</v>
      </c>
      <c r="B89" s="7" t="n">
        <v>1</v>
      </c>
      <c r="C89" s="7" t="n">
        <v>0</v>
      </c>
      <c r="D89" s="7" t="n">
        <v>3</v>
      </c>
      <c r="E89" s="7" t="n">
        <v>4</v>
      </c>
    </row>
    <row r="90" customFormat="false" ht="15.75" hidden="false" customHeight="false" outlineLevel="0" collapsed="false">
      <c r="A90" s="4" t="s">
        <v>93</v>
      </c>
      <c r="B90" s="7" t="n">
        <v>0</v>
      </c>
      <c r="C90" s="7" t="n">
        <v>1</v>
      </c>
      <c r="D90" s="7" t="n">
        <v>0</v>
      </c>
      <c r="E90" s="7" t="n">
        <v>1</v>
      </c>
    </row>
    <row r="91" customFormat="false" ht="15.75" hidden="false" customHeight="false" outlineLevel="0" collapsed="false">
      <c r="A91" s="4" t="s">
        <v>94</v>
      </c>
      <c r="B91" s="7" t="n">
        <v>0</v>
      </c>
      <c r="C91" s="7" t="n">
        <v>1</v>
      </c>
      <c r="D91" s="7" t="n">
        <v>5</v>
      </c>
      <c r="E91" s="7" t="n">
        <v>6</v>
      </c>
    </row>
    <row r="92" customFormat="false" ht="15.75" hidden="false" customHeight="false" outlineLevel="0" collapsed="false">
      <c r="A92" s="6" t="s">
        <v>95</v>
      </c>
      <c r="B92" s="7" t="n">
        <v>3</v>
      </c>
      <c r="C92" s="7" t="n">
        <v>0</v>
      </c>
      <c r="D92" s="7" t="n">
        <v>0</v>
      </c>
      <c r="E92" s="7" t="n">
        <v>3</v>
      </c>
    </row>
    <row r="93" customFormat="false" ht="15.75" hidden="false" customHeight="false" outlineLevel="0" collapsed="false">
      <c r="A93" s="4" t="s">
        <v>96</v>
      </c>
      <c r="B93" s="7" t="n">
        <v>3</v>
      </c>
      <c r="C93" s="7" t="n">
        <v>0</v>
      </c>
      <c r="D93" s="7" t="n">
        <v>0</v>
      </c>
      <c r="E93" s="7" t="n">
        <v>3</v>
      </c>
    </row>
    <row r="94" customFormat="false" ht="15.75" hidden="false" customHeight="false" outlineLevel="0" collapsed="false">
      <c r="A94" s="6" t="s">
        <v>97</v>
      </c>
      <c r="B94" s="7" t="n">
        <v>14</v>
      </c>
      <c r="C94" s="7" t="n">
        <v>22</v>
      </c>
      <c r="D94" s="7" t="n">
        <v>25</v>
      </c>
      <c r="E94" s="7" t="n">
        <v>61</v>
      </c>
    </row>
    <row r="95" customFormat="false" ht="15.75" hidden="false" customHeight="false" outlineLevel="0" collapsed="false">
      <c r="A95" s="4" t="s">
        <v>98</v>
      </c>
      <c r="B95" s="7" t="n">
        <v>14</v>
      </c>
      <c r="C95" s="7" t="n">
        <v>19</v>
      </c>
      <c r="D95" s="7" t="n">
        <v>11</v>
      </c>
      <c r="E95" s="7" t="n">
        <v>44</v>
      </c>
    </row>
    <row r="96" customFormat="false" ht="15.75" hidden="false" customHeight="false" outlineLevel="0" collapsed="false">
      <c r="A96" s="4" t="s">
        <v>99</v>
      </c>
      <c r="B96" s="7" t="n">
        <v>0</v>
      </c>
      <c r="C96" s="7" t="n">
        <v>3</v>
      </c>
      <c r="D96" s="7" t="n">
        <v>11</v>
      </c>
      <c r="E96" s="7" t="n">
        <v>14</v>
      </c>
    </row>
    <row r="97" customFormat="false" ht="15.75" hidden="false" customHeight="false" outlineLevel="0" collapsed="false">
      <c r="A97" s="4" t="s">
        <v>100</v>
      </c>
      <c r="B97" s="7" t="n">
        <v>0</v>
      </c>
      <c r="C97" s="7" t="n">
        <v>0</v>
      </c>
      <c r="D97" s="7" t="n">
        <v>3</v>
      </c>
      <c r="E97" s="7" t="n">
        <v>3</v>
      </c>
    </row>
    <row r="98" customFormat="false" ht="15.75" hidden="false" customHeight="false" outlineLevel="0" collapsed="false">
      <c r="A98" s="6" t="s">
        <v>101</v>
      </c>
      <c r="B98" s="7" t="n">
        <v>0</v>
      </c>
      <c r="C98" s="7" t="n">
        <v>0</v>
      </c>
      <c r="D98" s="7" t="n">
        <v>2</v>
      </c>
      <c r="E98" s="7" t="n">
        <v>2</v>
      </c>
    </row>
    <row r="99" customFormat="false" ht="15.75" hidden="false" customHeight="false" outlineLevel="0" collapsed="false">
      <c r="A99" s="4" t="s">
        <v>102</v>
      </c>
      <c r="B99" s="7" t="n">
        <v>0</v>
      </c>
      <c r="C99" s="7" t="n">
        <v>0</v>
      </c>
      <c r="D99" s="7" t="n">
        <v>2</v>
      </c>
      <c r="E99" s="7" t="n">
        <v>2</v>
      </c>
    </row>
    <row r="100" customFormat="false" ht="15.75" hidden="false" customHeight="false" outlineLevel="0" collapsed="false">
      <c r="A100" s="6" t="s">
        <v>103</v>
      </c>
      <c r="B100" s="7" t="n">
        <v>11</v>
      </c>
      <c r="C100" s="7" t="n">
        <v>84</v>
      </c>
      <c r="D100" s="7" t="n">
        <v>14</v>
      </c>
      <c r="E100" s="7" t="n">
        <v>109</v>
      </c>
    </row>
    <row r="101" customFormat="false" ht="15.75" hidden="false" customHeight="false" outlineLevel="0" collapsed="false">
      <c r="A101" s="4" t="s">
        <v>104</v>
      </c>
      <c r="B101" s="7" t="n">
        <v>5</v>
      </c>
      <c r="C101" s="7" t="n">
        <v>0</v>
      </c>
      <c r="D101" s="7" t="n">
        <v>5</v>
      </c>
      <c r="E101" s="7" t="n">
        <v>10</v>
      </c>
    </row>
    <row r="102" customFormat="false" ht="15.75" hidden="false" customHeight="false" outlineLevel="0" collapsed="false">
      <c r="A102" s="4" t="s">
        <v>105</v>
      </c>
      <c r="B102" s="7" t="n">
        <v>0</v>
      </c>
      <c r="C102" s="7" t="n">
        <v>0</v>
      </c>
      <c r="D102" s="7" t="n">
        <v>2</v>
      </c>
      <c r="E102" s="7" t="n">
        <v>2</v>
      </c>
    </row>
    <row r="103" customFormat="false" ht="15.75" hidden="false" customHeight="false" outlineLevel="0" collapsed="false">
      <c r="A103" s="4" t="s">
        <v>106</v>
      </c>
      <c r="B103" s="7" t="n">
        <v>0</v>
      </c>
      <c r="C103" s="7" t="n">
        <v>22</v>
      </c>
      <c r="D103" s="7" t="n">
        <v>0</v>
      </c>
      <c r="E103" s="7" t="n">
        <v>22</v>
      </c>
    </row>
    <row r="104" customFormat="false" ht="15.75" hidden="false" customHeight="false" outlineLevel="0" collapsed="false">
      <c r="A104" s="4" t="s">
        <v>107</v>
      </c>
      <c r="B104" s="7" t="n">
        <v>2</v>
      </c>
      <c r="C104" s="7" t="n">
        <v>15</v>
      </c>
      <c r="D104" s="7" t="n">
        <v>3</v>
      </c>
      <c r="E104" s="7" t="n">
        <v>20</v>
      </c>
    </row>
    <row r="105" customFormat="false" ht="15.75" hidden="false" customHeight="false" outlineLevel="0" collapsed="false">
      <c r="A105" s="4" t="s">
        <v>108</v>
      </c>
      <c r="B105" s="7" t="n">
        <v>4</v>
      </c>
      <c r="C105" s="7" t="n">
        <v>47</v>
      </c>
      <c r="D105" s="7" t="n">
        <v>4</v>
      </c>
      <c r="E105" s="7" t="n">
        <v>55</v>
      </c>
    </row>
    <row r="106" customFormat="false" ht="15.75" hidden="false" customHeight="false" outlineLevel="0" collapsed="false">
      <c r="A106" s="6" t="s">
        <v>109</v>
      </c>
      <c r="B106" s="7" t="n">
        <v>2</v>
      </c>
      <c r="C106" s="7" t="n">
        <v>1</v>
      </c>
      <c r="D106" s="7" t="n">
        <v>0</v>
      </c>
      <c r="E106" s="7" t="n">
        <v>3</v>
      </c>
    </row>
    <row r="107" customFormat="false" ht="15.75" hidden="false" customHeight="false" outlineLevel="0" collapsed="false">
      <c r="A107" s="4" t="s">
        <v>110</v>
      </c>
      <c r="B107" s="7" t="n">
        <v>2</v>
      </c>
      <c r="C107" s="7" t="n">
        <v>0</v>
      </c>
      <c r="D107" s="7" t="n">
        <v>0</v>
      </c>
      <c r="E107" s="7" t="n">
        <v>2</v>
      </c>
    </row>
    <row r="108" customFormat="false" ht="15.75" hidden="false" customHeight="false" outlineLevel="0" collapsed="false">
      <c r="A108" s="4" t="s">
        <v>111</v>
      </c>
      <c r="B108" s="7" t="n">
        <v>0</v>
      </c>
      <c r="C108" s="7" t="n">
        <v>1</v>
      </c>
      <c r="D108" s="7" t="n">
        <v>0</v>
      </c>
      <c r="E108" s="7" t="n">
        <v>1</v>
      </c>
    </row>
    <row r="109" customFormat="false" ht="15.75" hidden="false" customHeight="false" outlineLevel="0" collapsed="false">
      <c r="A109" s="6" t="s">
        <v>112</v>
      </c>
      <c r="B109" s="7" t="n">
        <v>1</v>
      </c>
      <c r="C109" s="7" t="n">
        <v>0</v>
      </c>
      <c r="D109" s="7" t="n">
        <v>0</v>
      </c>
      <c r="E109" s="7" t="n">
        <v>1</v>
      </c>
    </row>
    <row r="110" customFormat="false" ht="15.75" hidden="false" customHeight="false" outlineLevel="0" collapsed="false">
      <c r="A110" s="4" t="s">
        <v>113</v>
      </c>
      <c r="B110" s="7" t="n">
        <v>1</v>
      </c>
      <c r="C110" s="7" t="n">
        <v>0</v>
      </c>
      <c r="D110" s="7" t="n">
        <v>0</v>
      </c>
      <c r="E110" s="7" t="n">
        <v>1</v>
      </c>
    </row>
    <row r="111" customFormat="false" ht="15.75" hidden="false" customHeight="false" outlineLevel="0" collapsed="false">
      <c r="A111" s="6" t="s">
        <v>114</v>
      </c>
      <c r="B111" s="7" t="n">
        <v>0</v>
      </c>
      <c r="C111" s="7" t="n">
        <v>0</v>
      </c>
      <c r="D111" s="7" t="n">
        <v>1</v>
      </c>
      <c r="E111" s="7" t="n">
        <v>1</v>
      </c>
    </row>
    <row r="112" customFormat="false" ht="15.75" hidden="false" customHeight="false" outlineLevel="0" collapsed="false">
      <c r="A112" s="4" t="s">
        <v>115</v>
      </c>
      <c r="B112" s="7" t="n">
        <v>0</v>
      </c>
      <c r="C112" s="7" t="n">
        <v>0</v>
      </c>
      <c r="D112" s="7" t="n">
        <v>1</v>
      </c>
      <c r="E112" s="7" t="n">
        <v>1</v>
      </c>
    </row>
    <row r="113" customFormat="false" ht="15.75" hidden="false" customHeight="false" outlineLevel="0" collapsed="false">
      <c r="A113" s="6" t="s">
        <v>116</v>
      </c>
      <c r="B113" s="7" t="n">
        <v>0</v>
      </c>
      <c r="C113" s="7" t="n">
        <v>1</v>
      </c>
      <c r="D113" s="7" t="n">
        <v>0</v>
      </c>
      <c r="E113" s="7" t="n">
        <v>1</v>
      </c>
    </row>
    <row r="114" customFormat="false" ht="15.75" hidden="false" customHeight="false" outlineLevel="0" collapsed="false">
      <c r="A114" s="4" t="s">
        <v>117</v>
      </c>
      <c r="B114" s="7" t="n">
        <v>0</v>
      </c>
      <c r="C114" s="7" t="n">
        <v>1</v>
      </c>
      <c r="D114" s="7" t="n">
        <v>0</v>
      </c>
      <c r="E114" s="7" t="n">
        <v>1</v>
      </c>
    </row>
    <row r="115" customFormat="false" ht="15.75" hidden="false" customHeight="false" outlineLevel="0" collapsed="false">
      <c r="A115" s="6" t="s">
        <v>118</v>
      </c>
      <c r="B115" s="7" t="n">
        <v>2</v>
      </c>
      <c r="C115" s="7" t="n">
        <v>11</v>
      </c>
      <c r="D115" s="7" t="n">
        <v>19</v>
      </c>
      <c r="E115" s="7" t="n">
        <v>32</v>
      </c>
    </row>
    <row r="116" customFormat="false" ht="15.75" hidden="false" customHeight="false" outlineLevel="0" collapsed="false">
      <c r="A116" s="4" t="s">
        <v>119</v>
      </c>
      <c r="B116" s="7" t="n">
        <v>0</v>
      </c>
      <c r="C116" s="7" t="n">
        <v>8</v>
      </c>
      <c r="D116" s="7" t="n">
        <v>6</v>
      </c>
      <c r="E116" s="7" t="n">
        <v>14</v>
      </c>
    </row>
    <row r="117" customFormat="false" ht="15.75" hidden="false" customHeight="false" outlineLevel="0" collapsed="false">
      <c r="A117" s="4" t="s">
        <v>120</v>
      </c>
      <c r="B117" s="7" t="n">
        <v>2</v>
      </c>
      <c r="C117" s="7" t="n">
        <v>3</v>
      </c>
      <c r="D117" s="7" t="n">
        <v>13</v>
      </c>
      <c r="E117" s="7" t="n">
        <v>18</v>
      </c>
    </row>
    <row r="118" customFormat="false" ht="15.75" hidden="false" customHeight="false" outlineLevel="0" collapsed="false">
      <c r="A118" s="6" t="s">
        <v>121</v>
      </c>
      <c r="B118" s="7" t="n">
        <v>6</v>
      </c>
      <c r="C118" s="7" t="n">
        <v>5</v>
      </c>
      <c r="D118" s="7" t="n">
        <v>28</v>
      </c>
      <c r="E118" s="7" t="n">
        <v>39</v>
      </c>
    </row>
    <row r="119" customFormat="false" ht="15.75" hidden="false" customHeight="false" outlineLevel="0" collapsed="false">
      <c r="A119" s="4" t="s">
        <v>24</v>
      </c>
      <c r="B119" s="7" t="n">
        <v>6</v>
      </c>
      <c r="C119" s="7" t="n">
        <v>5</v>
      </c>
      <c r="D119" s="7" t="n">
        <v>28</v>
      </c>
      <c r="E119" s="7" t="n">
        <v>39</v>
      </c>
    </row>
    <row r="120" customFormat="false" ht="15.75" hidden="false" customHeight="false" outlineLevel="0" collapsed="false">
      <c r="A120" s="6" t="s">
        <v>122</v>
      </c>
      <c r="B120" s="7" t="n">
        <v>11</v>
      </c>
      <c r="C120" s="7" t="n">
        <v>9</v>
      </c>
      <c r="D120" s="7" t="n">
        <v>13</v>
      </c>
      <c r="E120" s="7" t="n">
        <v>33</v>
      </c>
    </row>
    <row r="121" customFormat="false" ht="15.75" hidden="false" customHeight="false" outlineLevel="0" collapsed="false">
      <c r="A121" s="4" t="s">
        <v>123</v>
      </c>
      <c r="B121" s="7" t="n">
        <v>3</v>
      </c>
      <c r="C121" s="7" t="n">
        <v>6</v>
      </c>
      <c r="D121" s="7" t="n">
        <v>13</v>
      </c>
      <c r="E121" s="7" t="n">
        <v>22</v>
      </c>
    </row>
    <row r="122" customFormat="false" ht="15.75" hidden="false" customHeight="false" outlineLevel="0" collapsed="false">
      <c r="A122" s="4" t="s">
        <v>124</v>
      </c>
      <c r="B122" s="7" t="n">
        <v>0</v>
      </c>
      <c r="C122" s="7" t="n">
        <v>1</v>
      </c>
      <c r="D122" s="7" t="n">
        <v>0</v>
      </c>
      <c r="E122" s="7" t="n">
        <v>1</v>
      </c>
    </row>
    <row r="123" customFormat="false" ht="15.75" hidden="false" customHeight="false" outlineLevel="0" collapsed="false">
      <c r="A123" s="4" t="s">
        <v>125</v>
      </c>
      <c r="B123" s="7" t="n">
        <v>8</v>
      </c>
      <c r="C123" s="7" t="n">
        <v>2</v>
      </c>
      <c r="D123" s="7" t="n">
        <v>0</v>
      </c>
      <c r="E123" s="7" t="n">
        <v>10</v>
      </c>
    </row>
    <row r="124" customFormat="false" ht="15.75" hidden="false" customHeight="false" outlineLevel="0" collapsed="false">
      <c r="A124" s="6" t="s">
        <v>126</v>
      </c>
      <c r="B124" s="7" t="n">
        <v>12</v>
      </c>
      <c r="C124" s="7" t="n">
        <v>0</v>
      </c>
      <c r="D124" s="7" t="n">
        <v>2</v>
      </c>
      <c r="E124" s="7" t="n">
        <v>14</v>
      </c>
    </row>
    <row r="125" customFormat="false" ht="15.75" hidden="false" customHeight="false" outlineLevel="0" collapsed="false">
      <c r="A125" s="4" t="s">
        <v>127</v>
      </c>
      <c r="B125" s="7" t="n">
        <v>9</v>
      </c>
      <c r="C125" s="7" t="n">
        <v>0</v>
      </c>
      <c r="D125" s="7" t="n">
        <v>0</v>
      </c>
      <c r="E125" s="7" t="n">
        <v>9</v>
      </c>
    </row>
    <row r="126" customFormat="false" ht="15.75" hidden="false" customHeight="false" outlineLevel="0" collapsed="false">
      <c r="A126" s="4" t="s">
        <v>128</v>
      </c>
      <c r="B126" s="7" t="n">
        <v>3</v>
      </c>
      <c r="C126" s="7" t="n">
        <v>0</v>
      </c>
      <c r="D126" s="7" t="n">
        <v>2</v>
      </c>
      <c r="E126" s="7" t="n">
        <v>5</v>
      </c>
    </row>
    <row r="127" customFormat="false" ht="15.75" hidden="false" customHeight="false" outlineLevel="0" collapsed="false">
      <c r="A127" s="6" t="s">
        <v>129</v>
      </c>
      <c r="B127" s="7" t="n">
        <v>2</v>
      </c>
      <c r="C127" s="7" t="n">
        <v>0</v>
      </c>
      <c r="D127" s="7" t="n">
        <v>0</v>
      </c>
      <c r="E127" s="7" t="n">
        <v>2</v>
      </c>
    </row>
    <row r="128" customFormat="false" ht="15.75" hidden="false" customHeight="false" outlineLevel="0" collapsed="false">
      <c r="A128" s="4" t="s">
        <v>130</v>
      </c>
      <c r="B128" s="7" t="n">
        <v>2</v>
      </c>
      <c r="C128" s="7" t="n">
        <v>0</v>
      </c>
      <c r="D128" s="7" t="n">
        <v>0</v>
      </c>
      <c r="E128" s="7" t="n">
        <v>2</v>
      </c>
    </row>
    <row r="129" customFormat="false" ht="15.75" hidden="false" customHeight="false" outlineLevel="0" collapsed="false">
      <c r="A129" s="6" t="s">
        <v>131</v>
      </c>
      <c r="B129" s="7" t="n">
        <v>0</v>
      </c>
      <c r="C129" s="7" t="n">
        <v>0</v>
      </c>
      <c r="D129" s="7" t="n">
        <v>32</v>
      </c>
      <c r="E129" s="7" t="n">
        <v>32</v>
      </c>
    </row>
    <row r="130" customFormat="false" ht="15.75" hidden="false" customHeight="false" outlineLevel="0" collapsed="false">
      <c r="A130" s="4" t="s">
        <v>132</v>
      </c>
      <c r="B130" s="7" t="n">
        <v>0</v>
      </c>
      <c r="C130" s="7" t="n">
        <v>0</v>
      </c>
      <c r="D130" s="7" t="n">
        <v>32</v>
      </c>
      <c r="E130" s="7" t="n">
        <v>32</v>
      </c>
    </row>
    <row r="131" customFormat="false" ht="15.75" hidden="false" customHeight="false" outlineLevel="0" collapsed="false">
      <c r="A131" s="6" t="s">
        <v>133</v>
      </c>
      <c r="B131" s="7" t="n">
        <v>11</v>
      </c>
      <c r="C131" s="7" t="n">
        <v>50</v>
      </c>
      <c r="D131" s="7" t="n">
        <v>304</v>
      </c>
      <c r="E131" s="7" t="n">
        <v>365</v>
      </c>
    </row>
    <row r="132" customFormat="false" ht="15.75" hidden="false" customHeight="false" outlineLevel="0" collapsed="false">
      <c r="A132" s="4" t="s">
        <v>134</v>
      </c>
      <c r="B132" s="7" t="n">
        <v>0</v>
      </c>
      <c r="C132" s="7" t="n">
        <v>0</v>
      </c>
      <c r="D132" s="7" t="n">
        <v>19</v>
      </c>
      <c r="E132" s="7" t="n">
        <v>19</v>
      </c>
    </row>
    <row r="133" customFormat="false" ht="15.75" hidden="false" customHeight="false" outlineLevel="0" collapsed="false">
      <c r="A133" s="4" t="s">
        <v>135</v>
      </c>
      <c r="B133" s="7" t="n">
        <v>0</v>
      </c>
      <c r="C133" s="7" t="n">
        <v>1</v>
      </c>
      <c r="D133" s="7" t="n">
        <v>12</v>
      </c>
      <c r="E133" s="7" t="n">
        <v>13</v>
      </c>
    </row>
    <row r="134" customFormat="false" ht="15.75" hidden="false" customHeight="false" outlineLevel="0" collapsed="false">
      <c r="A134" s="4" t="s">
        <v>136</v>
      </c>
      <c r="B134" s="7" t="n">
        <v>0</v>
      </c>
      <c r="C134" s="7" t="n">
        <v>4</v>
      </c>
      <c r="D134" s="7" t="n">
        <v>1</v>
      </c>
      <c r="E134" s="7" t="n">
        <v>5</v>
      </c>
    </row>
    <row r="135" customFormat="false" ht="15.75" hidden="false" customHeight="false" outlineLevel="0" collapsed="false">
      <c r="A135" s="4" t="s">
        <v>137</v>
      </c>
      <c r="B135" s="7" t="n">
        <v>0</v>
      </c>
      <c r="C135" s="7" t="n">
        <v>3</v>
      </c>
      <c r="D135" s="7" t="n">
        <v>0</v>
      </c>
      <c r="E135" s="7" t="n">
        <v>3</v>
      </c>
    </row>
    <row r="136" customFormat="false" ht="15.75" hidden="false" customHeight="false" outlineLevel="0" collapsed="false">
      <c r="A136" s="4" t="s">
        <v>138</v>
      </c>
      <c r="B136" s="7" t="n">
        <v>1</v>
      </c>
      <c r="C136" s="7" t="n">
        <v>0</v>
      </c>
      <c r="D136" s="7" t="n">
        <v>11</v>
      </c>
      <c r="E136" s="7" t="n">
        <v>12</v>
      </c>
    </row>
    <row r="137" customFormat="false" ht="15.75" hidden="false" customHeight="false" outlineLevel="0" collapsed="false">
      <c r="A137" s="4" t="s">
        <v>139</v>
      </c>
      <c r="B137" s="7" t="n">
        <v>0</v>
      </c>
      <c r="C137" s="7" t="n">
        <v>0</v>
      </c>
      <c r="D137" s="7" t="n">
        <v>13</v>
      </c>
      <c r="E137" s="7" t="n">
        <v>13</v>
      </c>
    </row>
    <row r="138" customFormat="false" ht="15.75" hidden="false" customHeight="false" outlineLevel="0" collapsed="false">
      <c r="A138" s="4" t="s">
        <v>140</v>
      </c>
      <c r="B138" s="7" t="n">
        <v>1</v>
      </c>
      <c r="C138" s="7" t="n">
        <v>0</v>
      </c>
      <c r="D138" s="7" t="n">
        <v>0</v>
      </c>
      <c r="E138" s="7" t="n">
        <v>1</v>
      </c>
    </row>
    <row r="139" customFormat="false" ht="15.75" hidden="false" customHeight="false" outlineLevel="0" collapsed="false">
      <c r="A139" s="4" t="s">
        <v>141</v>
      </c>
      <c r="B139" s="7" t="n">
        <v>7</v>
      </c>
      <c r="C139" s="7" t="n">
        <v>36</v>
      </c>
      <c r="D139" s="7" t="n">
        <v>247</v>
      </c>
      <c r="E139" s="7" t="n">
        <v>290</v>
      </c>
    </row>
    <row r="140" customFormat="false" ht="15.75" hidden="false" customHeight="false" outlineLevel="0" collapsed="false">
      <c r="A140" s="4" t="s">
        <v>142</v>
      </c>
      <c r="B140" s="7" t="n">
        <v>2</v>
      </c>
      <c r="C140" s="7" t="n">
        <v>6</v>
      </c>
      <c r="D140" s="7" t="n">
        <v>1</v>
      </c>
      <c r="E140" s="7" t="n">
        <v>9</v>
      </c>
    </row>
    <row r="141" customFormat="false" ht="15.75" hidden="false" customHeight="false" outlineLevel="0" collapsed="false">
      <c r="A141" s="6" t="s">
        <v>143</v>
      </c>
      <c r="B141" s="7" t="n">
        <v>37</v>
      </c>
      <c r="C141" s="7" t="n">
        <v>11</v>
      </c>
      <c r="D141" s="7" t="n">
        <v>9</v>
      </c>
      <c r="E141" s="7" t="n">
        <v>57</v>
      </c>
    </row>
    <row r="142" customFormat="false" ht="15.75" hidden="false" customHeight="false" outlineLevel="0" collapsed="false">
      <c r="A142" s="4" t="s">
        <v>144</v>
      </c>
      <c r="B142" s="7" t="n">
        <v>37</v>
      </c>
      <c r="C142" s="7" t="n">
        <v>11</v>
      </c>
      <c r="D142" s="7" t="n">
        <v>9</v>
      </c>
      <c r="E142" s="7" t="n">
        <v>57</v>
      </c>
    </row>
    <row r="143" customFormat="false" ht="15.75" hidden="false" customHeight="false" outlineLevel="0" collapsed="false">
      <c r="A143" s="6" t="s">
        <v>145</v>
      </c>
      <c r="B143" s="7" t="n">
        <v>1</v>
      </c>
      <c r="C143" s="7" t="n">
        <v>0</v>
      </c>
      <c r="D143" s="7" t="n">
        <v>0</v>
      </c>
      <c r="E143" s="7" t="n">
        <v>1</v>
      </c>
    </row>
    <row r="144" customFormat="false" ht="15.75" hidden="false" customHeight="false" outlineLevel="0" collapsed="false">
      <c r="A144" s="4" t="s">
        <v>146</v>
      </c>
      <c r="B144" s="7" t="n">
        <v>1</v>
      </c>
      <c r="C144" s="7" t="n">
        <v>0</v>
      </c>
      <c r="D144" s="7" t="n">
        <v>0</v>
      </c>
      <c r="E144" s="7" t="n">
        <v>1</v>
      </c>
    </row>
    <row r="145" customFormat="false" ht="15.75" hidden="false" customHeight="false" outlineLevel="0" collapsed="false">
      <c r="A145" s="6" t="s">
        <v>147</v>
      </c>
      <c r="B145" s="7" t="n">
        <v>36</v>
      </c>
      <c r="C145" s="7" t="n">
        <v>3</v>
      </c>
      <c r="D145" s="7" t="n">
        <v>6</v>
      </c>
      <c r="E145" s="7" t="n">
        <v>45</v>
      </c>
    </row>
    <row r="146" customFormat="false" ht="15.75" hidden="false" customHeight="false" outlineLevel="0" collapsed="false">
      <c r="A146" s="4" t="s">
        <v>148</v>
      </c>
      <c r="B146" s="7" t="n">
        <v>36</v>
      </c>
      <c r="C146" s="7" t="n">
        <v>0</v>
      </c>
      <c r="D146" s="7" t="n">
        <v>5</v>
      </c>
      <c r="E146" s="7" t="n">
        <v>41</v>
      </c>
    </row>
    <row r="147" customFormat="false" ht="15.75" hidden="false" customHeight="false" outlineLevel="0" collapsed="false">
      <c r="A147" s="4" t="s">
        <v>149</v>
      </c>
      <c r="B147" s="7" t="n">
        <v>0</v>
      </c>
      <c r="C147" s="7" t="n">
        <v>3</v>
      </c>
      <c r="D147" s="7" t="n">
        <v>1</v>
      </c>
      <c r="E147" s="7" t="n">
        <v>4</v>
      </c>
    </row>
    <row r="148" customFormat="false" ht="15.75" hidden="false" customHeight="false" outlineLevel="0" collapsed="false">
      <c r="A148" s="6" t="s">
        <v>150</v>
      </c>
      <c r="B148" s="7" t="n">
        <v>0</v>
      </c>
      <c r="C148" s="7" t="n">
        <v>41</v>
      </c>
      <c r="D148" s="7" t="n">
        <v>0</v>
      </c>
      <c r="E148" s="7" t="n">
        <v>41</v>
      </c>
    </row>
    <row r="149" customFormat="false" ht="15.75" hidden="false" customHeight="false" outlineLevel="0" collapsed="false">
      <c r="A149" s="4" t="s">
        <v>151</v>
      </c>
      <c r="B149" s="7" t="n">
        <v>0</v>
      </c>
      <c r="C149" s="7" t="n">
        <v>41</v>
      </c>
      <c r="D149" s="7" t="n">
        <v>0</v>
      </c>
      <c r="E149" s="7" t="n">
        <v>41</v>
      </c>
    </row>
    <row r="150" customFormat="false" ht="15.75" hidden="false" customHeight="false" outlineLevel="0" collapsed="false">
      <c r="A150" s="6" t="s">
        <v>152</v>
      </c>
      <c r="B150" s="7" t="n">
        <v>2</v>
      </c>
      <c r="C150" s="7" t="n">
        <v>1</v>
      </c>
      <c r="D150" s="7" t="n">
        <v>0</v>
      </c>
      <c r="E150" s="7" t="n">
        <v>3</v>
      </c>
    </row>
    <row r="151" customFormat="false" ht="15.75" hidden="false" customHeight="false" outlineLevel="0" collapsed="false">
      <c r="A151" s="4" t="s">
        <v>153</v>
      </c>
      <c r="B151" s="7" t="n">
        <v>2</v>
      </c>
      <c r="C151" s="7" t="n">
        <v>1</v>
      </c>
      <c r="D151" s="7" t="n">
        <v>0</v>
      </c>
      <c r="E151" s="7" t="n">
        <v>3</v>
      </c>
    </row>
    <row r="152" customFormat="false" ht="15.75" hidden="false" customHeight="false" outlineLevel="0" collapsed="false">
      <c r="A152" s="6" t="s">
        <v>154</v>
      </c>
      <c r="B152" s="7" t="n">
        <v>155</v>
      </c>
      <c r="C152" s="7" t="n">
        <v>309</v>
      </c>
      <c r="D152" s="7" t="n">
        <v>260</v>
      </c>
      <c r="E152" s="7" t="n">
        <v>724</v>
      </c>
    </row>
    <row r="153" customFormat="false" ht="15.75" hidden="false" customHeight="false" outlineLevel="0" collapsed="false">
      <c r="A153" s="4" t="s">
        <v>155</v>
      </c>
      <c r="B153" s="7" t="n">
        <v>13</v>
      </c>
      <c r="C153" s="7" t="n">
        <v>147</v>
      </c>
      <c r="D153" s="7" t="n">
        <v>91</v>
      </c>
      <c r="E153" s="7" t="n">
        <v>251</v>
      </c>
    </row>
    <row r="154" customFormat="false" ht="15.75" hidden="false" customHeight="false" outlineLevel="0" collapsed="false">
      <c r="A154" s="4" t="s">
        <v>156</v>
      </c>
      <c r="B154" s="7" t="n">
        <v>1</v>
      </c>
      <c r="C154" s="7" t="n">
        <v>0</v>
      </c>
      <c r="D154" s="7" t="n">
        <v>0</v>
      </c>
      <c r="E154" s="7" t="n">
        <v>1</v>
      </c>
    </row>
    <row r="155" customFormat="false" ht="15.75" hidden="false" customHeight="false" outlineLevel="0" collapsed="false">
      <c r="A155" s="4" t="s">
        <v>157</v>
      </c>
      <c r="B155" s="7" t="n">
        <v>11</v>
      </c>
      <c r="C155" s="7" t="n">
        <v>2</v>
      </c>
      <c r="D155" s="7" t="n">
        <v>1</v>
      </c>
      <c r="E155" s="7" t="n">
        <v>14</v>
      </c>
    </row>
    <row r="156" customFormat="false" ht="15.75" hidden="false" customHeight="false" outlineLevel="0" collapsed="false">
      <c r="A156" s="4" t="s">
        <v>158</v>
      </c>
      <c r="B156" s="7" t="n">
        <v>24</v>
      </c>
      <c r="C156" s="7" t="n">
        <v>1</v>
      </c>
      <c r="D156" s="7" t="n">
        <v>7</v>
      </c>
      <c r="E156" s="7" t="n">
        <v>32</v>
      </c>
    </row>
    <row r="157" customFormat="false" ht="15.75" hidden="false" customHeight="false" outlineLevel="0" collapsed="false">
      <c r="A157" s="4" t="s">
        <v>159</v>
      </c>
      <c r="B157" s="7" t="n">
        <v>3</v>
      </c>
      <c r="C157" s="7" t="n">
        <v>3</v>
      </c>
      <c r="D157" s="7" t="n">
        <v>13</v>
      </c>
      <c r="E157" s="7" t="n">
        <v>19</v>
      </c>
    </row>
    <row r="158" customFormat="false" ht="15.75" hidden="false" customHeight="false" outlineLevel="0" collapsed="false">
      <c r="A158" s="4" t="s">
        <v>160</v>
      </c>
      <c r="B158" s="7" t="n">
        <v>8</v>
      </c>
      <c r="C158" s="7" t="n">
        <v>46</v>
      </c>
      <c r="D158" s="7" t="n">
        <v>42</v>
      </c>
      <c r="E158" s="7" t="n">
        <v>96</v>
      </c>
    </row>
    <row r="159" customFormat="false" ht="15.75" hidden="false" customHeight="false" outlineLevel="0" collapsed="false">
      <c r="A159" s="4" t="s">
        <v>161</v>
      </c>
      <c r="B159" s="7" t="n">
        <v>53</v>
      </c>
      <c r="C159" s="7" t="n">
        <v>76</v>
      </c>
      <c r="D159" s="7" t="n">
        <v>21</v>
      </c>
      <c r="E159" s="7" t="n">
        <v>150</v>
      </c>
    </row>
    <row r="160" customFormat="false" ht="15.75" hidden="false" customHeight="false" outlineLevel="0" collapsed="false">
      <c r="A160" s="4" t="s">
        <v>162</v>
      </c>
      <c r="B160" s="7" t="n">
        <v>0</v>
      </c>
      <c r="C160" s="7" t="n">
        <v>1</v>
      </c>
      <c r="D160" s="7" t="n">
        <v>0</v>
      </c>
      <c r="E160" s="7" t="n">
        <v>1</v>
      </c>
    </row>
    <row r="161" customFormat="false" ht="15.75" hidden="false" customHeight="false" outlineLevel="0" collapsed="false">
      <c r="A161" s="4" t="s">
        <v>163</v>
      </c>
      <c r="B161" s="7" t="n">
        <v>4</v>
      </c>
      <c r="C161" s="7" t="n">
        <v>0</v>
      </c>
      <c r="D161" s="7" t="n">
        <v>33</v>
      </c>
      <c r="E161" s="7" t="n">
        <v>37</v>
      </c>
    </row>
    <row r="162" customFormat="false" ht="15.75" hidden="false" customHeight="false" outlineLevel="0" collapsed="false">
      <c r="A162" s="4" t="s">
        <v>164</v>
      </c>
      <c r="B162" s="7" t="n">
        <v>0</v>
      </c>
      <c r="C162" s="7" t="n">
        <v>8</v>
      </c>
      <c r="D162" s="7" t="n">
        <v>0</v>
      </c>
      <c r="E162" s="7" t="n">
        <v>8</v>
      </c>
    </row>
    <row r="163" customFormat="false" ht="15.75" hidden="false" customHeight="false" outlineLevel="0" collapsed="false">
      <c r="A163" s="4" t="s">
        <v>165</v>
      </c>
      <c r="B163" s="7" t="n">
        <v>5</v>
      </c>
      <c r="C163" s="7" t="n">
        <v>0</v>
      </c>
      <c r="D163" s="7" t="n">
        <v>38</v>
      </c>
      <c r="E163" s="7" t="n">
        <v>43</v>
      </c>
    </row>
    <row r="164" customFormat="false" ht="15.75" hidden="false" customHeight="false" outlineLevel="0" collapsed="false">
      <c r="A164" s="4" t="s">
        <v>166</v>
      </c>
      <c r="B164" s="7" t="n">
        <v>0</v>
      </c>
      <c r="C164" s="7" t="n">
        <v>0</v>
      </c>
      <c r="D164" s="7" t="n">
        <v>1</v>
      </c>
      <c r="E164" s="7" t="n">
        <v>1</v>
      </c>
    </row>
    <row r="165" customFormat="false" ht="15.75" hidden="false" customHeight="false" outlineLevel="0" collapsed="false">
      <c r="A165" s="4" t="s">
        <v>167</v>
      </c>
      <c r="B165" s="7" t="n">
        <v>0</v>
      </c>
      <c r="C165" s="7" t="n">
        <v>0</v>
      </c>
      <c r="D165" s="7" t="n">
        <v>5</v>
      </c>
      <c r="E165" s="7" t="n">
        <v>5</v>
      </c>
    </row>
    <row r="166" customFormat="false" ht="15.75" hidden="false" customHeight="false" outlineLevel="0" collapsed="false">
      <c r="A166" s="4" t="s">
        <v>168</v>
      </c>
      <c r="B166" s="7" t="n">
        <v>32</v>
      </c>
      <c r="C166" s="7" t="n">
        <v>25</v>
      </c>
      <c r="D166" s="7" t="n">
        <v>4</v>
      </c>
      <c r="E166" s="7" t="n">
        <v>61</v>
      </c>
    </row>
    <row r="167" customFormat="false" ht="15.75" hidden="false" customHeight="false" outlineLevel="0" collapsed="false">
      <c r="A167" s="4" t="s">
        <v>169</v>
      </c>
      <c r="B167" s="7" t="n">
        <v>1</v>
      </c>
      <c r="C167" s="7" t="n">
        <v>0</v>
      </c>
      <c r="D167" s="7" t="n">
        <v>0</v>
      </c>
      <c r="E167" s="7" t="n">
        <v>1</v>
      </c>
    </row>
    <row r="168" customFormat="false" ht="15.75" hidden="false" customHeight="false" outlineLevel="0" collapsed="false">
      <c r="A168" s="4" t="s">
        <v>170</v>
      </c>
      <c r="B168" s="7" t="n">
        <v>0</v>
      </c>
      <c r="C168" s="7" t="n">
        <v>0</v>
      </c>
      <c r="D168" s="7" t="n">
        <v>4</v>
      </c>
      <c r="E168" s="7" t="n">
        <v>4</v>
      </c>
    </row>
    <row r="169" customFormat="false" ht="15.75" hidden="false" customHeight="false" outlineLevel="0" collapsed="false">
      <c r="A169" s="6" t="s">
        <v>171</v>
      </c>
      <c r="B169" s="7" t="n">
        <v>1</v>
      </c>
      <c r="C169" s="7" t="n">
        <v>1</v>
      </c>
      <c r="D169" s="7" t="n">
        <v>0</v>
      </c>
      <c r="E169" s="7" t="n">
        <v>2</v>
      </c>
    </row>
    <row r="170" customFormat="false" ht="15.75" hidden="false" customHeight="false" outlineLevel="0" collapsed="false">
      <c r="A170" s="4" t="s">
        <v>172</v>
      </c>
      <c r="B170" s="7" t="n">
        <v>1</v>
      </c>
      <c r="C170" s="7" t="n">
        <v>0</v>
      </c>
      <c r="D170" s="7" t="n">
        <v>0</v>
      </c>
      <c r="E170" s="7" t="n">
        <v>1</v>
      </c>
    </row>
    <row r="171" customFormat="false" ht="15.75" hidden="false" customHeight="false" outlineLevel="0" collapsed="false">
      <c r="A171" s="4" t="s">
        <v>173</v>
      </c>
      <c r="B171" s="7" t="n">
        <v>0</v>
      </c>
      <c r="C171" s="7" t="n">
        <v>1</v>
      </c>
      <c r="D171" s="7" t="n">
        <v>0</v>
      </c>
      <c r="E171" s="7" t="n">
        <v>1</v>
      </c>
    </row>
    <row r="172" customFormat="false" ht="15.75" hidden="false" customHeight="false" outlineLevel="0" collapsed="false">
      <c r="A172" s="6" t="s">
        <v>174</v>
      </c>
      <c r="B172" s="7" t="n">
        <v>51</v>
      </c>
      <c r="C172" s="7" t="n">
        <v>13</v>
      </c>
      <c r="D172" s="7" t="n">
        <v>48</v>
      </c>
      <c r="E172" s="7" t="n">
        <v>112</v>
      </c>
    </row>
    <row r="173" customFormat="false" ht="15.75" hidden="false" customHeight="false" outlineLevel="0" collapsed="false">
      <c r="A173" s="4" t="s">
        <v>175</v>
      </c>
      <c r="B173" s="7" t="n">
        <v>33</v>
      </c>
      <c r="C173" s="7" t="n">
        <v>6</v>
      </c>
      <c r="D173" s="7" t="n">
        <v>26</v>
      </c>
      <c r="E173" s="7" t="n">
        <v>65</v>
      </c>
    </row>
    <row r="174" customFormat="false" ht="15.75" hidden="false" customHeight="false" outlineLevel="0" collapsed="false">
      <c r="A174" s="4" t="s">
        <v>176</v>
      </c>
      <c r="B174" s="7" t="n">
        <v>18</v>
      </c>
      <c r="C174" s="7" t="n">
        <v>7</v>
      </c>
      <c r="D174" s="7" t="n">
        <v>22</v>
      </c>
      <c r="E174" s="7" t="n">
        <v>47</v>
      </c>
    </row>
    <row r="175" customFormat="false" ht="15.75" hidden="false" customHeight="false" outlineLevel="0" collapsed="false">
      <c r="A175" s="6" t="s">
        <v>177</v>
      </c>
      <c r="B175" s="7" t="n">
        <v>2</v>
      </c>
      <c r="C175" s="7" t="n">
        <v>13</v>
      </c>
      <c r="D175" s="7" t="n">
        <v>6</v>
      </c>
      <c r="E175" s="7" t="n">
        <v>21</v>
      </c>
    </row>
    <row r="176" customFormat="false" ht="15.75" hidden="false" customHeight="false" outlineLevel="0" collapsed="false">
      <c r="A176" s="4" t="s">
        <v>178</v>
      </c>
      <c r="B176" s="7" t="n">
        <v>0</v>
      </c>
      <c r="C176" s="7" t="n">
        <v>0</v>
      </c>
      <c r="D176" s="7" t="n">
        <v>6</v>
      </c>
      <c r="E176" s="7" t="n">
        <v>6</v>
      </c>
    </row>
    <row r="177" customFormat="false" ht="15.75" hidden="false" customHeight="false" outlineLevel="0" collapsed="false">
      <c r="A177" s="4" t="s">
        <v>179</v>
      </c>
      <c r="B177" s="7" t="n">
        <v>0</v>
      </c>
      <c r="C177" s="7" t="n">
        <v>9</v>
      </c>
      <c r="D177" s="7" t="n">
        <v>0</v>
      </c>
      <c r="E177" s="7" t="n">
        <v>9</v>
      </c>
    </row>
    <row r="178" customFormat="false" ht="15.75" hidden="false" customHeight="false" outlineLevel="0" collapsed="false">
      <c r="A178" s="4" t="s">
        <v>180</v>
      </c>
      <c r="B178" s="7" t="n">
        <v>2</v>
      </c>
      <c r="C178" s="7" t="n">
        <v>4</v>
      </c>
      <c r="D178" s="7" t="n">
        <v>0</v>
      </c>
      <c r="E178" s="7" t="n">
        <v>6</v>
      </c>
    </row>
    <row r="179" customFormat="false" ht="15.75" hidden="false" customHeight="false" outlineLevel="0" collapsed="false">
      <c r="A179" s="6" t="s">
        <v>181</v>
      </c>
      <c r="B179" s="7" t="n">
        <v>2</v>
      </c>
      <c r="C179" s="7" t="n">
        <v>8</v>
      </c>
      <c r="D179" s="7" t="n">
        <v>10</v>
      </c>
      <c r="E179" s="7" t="n">
        <v>20</v>
      </c>
    </row>
    <row r="180" customFormat="false" ht="15.75" hidden="false" customHeight="false" outlineLevel="0" collapsed="false">
      <c r="A180" s="4" t="s">
        <v>182</v>
      </c>
      <c r="B180" s="7" t="n">
        <v>0</v>
      </c>
      <c r="C180" s="7" t="n">
        <v>0</v>
      </c>
      <c r="D180" s="7" t="n">
        <v>8</v>
      </c>
      <c r="E180" s="7" t="n">
        <v>8</v>
      </c>
    </row>
    <row r="181" customFormat="false" ht="15.75" hidden="false" customHeight="false" outlineLevel="0" collapsed="false">
      <c r="A181" s="4" t="s">
        <v>183</v>
      </c>
      <c r="B181" s="7" t="n">
        <v>0</v>
      </c>
      <c r="C181" s="7" t="n">
        <v>0</v>
      </c>
      <c r="D181" s="7" t="n">
        <v>1</v>
      </c>
      <c r="E181" s="7" t="n">
        <v>1</v>
      </c>
    </row>
    <row r="182" customFormat="false" ht="15.75" hidden="false" customHeight="false" outlineLevel="0" collapsed="false">
      <c r="A182" s="4" t="s">
        <v>184</v>
      </c>
      <c r="B182" s="7" t="n">
        <v>2</v>
      </c>
      <c r="C182" s="7" t="n">
        <v>8</v>
      </c>
      <c r="D182" s="7" t="n">
        <v>1</v>
      </c>
      <c r="E182" s="7" t="n">
        <v>11</v>
      </c>
    </row>
    <row r="183" customFormat="false" ht="15.75" hidden="false" customHeight="false" outlineLevel="0" collapsed="false">
      <c r="A183" s="6" t="s">
        <v>185</v>
      </c>
      <c r="B183" s="7" t="n">
        <v>0</v>
      </c>
      <c r="C183" s="7" t="n">
        <v>0</v>
      </c>
      <c r="D183" s="7" t="n">
        <v>4</v>
      </c>
      <c r="E183" s="7" t="n">
        <v>4</v>
      </c>
    </row>
    <row r="184" customFormat="false" ht="15.75" hidden="false" customHeight="false" outlineLevel="0" collapsed="false">
      <c r="A184" s="4" t="s">
        <v>186</v>
      </c>
      <c r="B184" s="7" t="n">
        <v>0</v>
      </c>
      <c r="C184" s="7" t="n">
        <v>0</v>
      </c>
      <c r="D184" s="7" t="n">
        <v>4</v>
      </c>
      <c r="E184" s="7" t="n">
        <v>4</v>
      </c>
    </row>
    <row r="185" customFormat="false" ht="15.75" hidden="false" customHeight="false" outlineLevel="0" collapsed="false">
      <c r="A185" s="6" t="s">
        <v>187</v>
      </c>
      <c r="B185" s="7" t="n">
        <v>1</v>
      </c>
      <c r="C185" s="7" t="n">
        <v>0</v>
      </c>
      <c r="D185" s="7" t="n">
        <v>0</v>
      </c>
      <c r="E185" s="7" t="n">
        <v>1</v>
      </c>
    </row>
    <row r="186" customFormat="false" ht="15.75" hidden="false" customHeight="false" outlineLevel="0" collapsed="false">
      <c r="A186" s="4" t="s">
        <v>188</v>
      </c>
      <c r="B186" s="7" t="n">
        <v>1</v>
      </c>
      <c r="C186" s="7" t="n">
        <v>0</v>
      </c>
      <c r="D186" s="7" t="n">
        <v>0</v>
      </c>
      <c r="E186" s="7" t="n">
        <v>1</v>
      </c>
    </row>
    <row r="187" customFormat="false" ht="15.75" hidden="false" customHeight="false" outlineLevel="0" collapsed="false">
      <c r="A187" s="6" t="s">
        <v>189</v>
      </c>
      <c r="B187" s="7" t="n">
        <v>5</v>
      </c>
      <c r="C187" s="7" t="n">
        <v>3</v>
      </c>
      <c r="D187" s="7" t="n">
        <v>1</v>
      </c>
      <c r="E187" s="7" t="n">
        <v>9</v>
      </c>
    </row>
    <row r="188" customFormat="false" ht="15.75" hidden="false" customHeight="false" outlineLevel="0" collapsed="false">
      <c r="A188" s="4" t="s">
        <v>75</v>
      </c>
      <c r="B188" s="7" t="n">
        <v>0</v>
      </c>
      <c r="C188" s="7" t="n">
        <v>0</v>
      </c>
      <c r="D188" s="7" t="n">
        <v>1</v>
      </c>
      <c r="E188" s="7" t="n">
        <v>1</v>
      </c>
    </row>
    <row r="189" customFormat="false" ht="15.75" hidden="false" customHeight="false" outlineLevel="0" collapsed="false">
      <c r="A189" s="4" t="s">
        <v>190</v>
      </c>
      <c r="B189" s="7" t="n">
        <v>5</v>
      </c>
      <c r="C189" s="7" t="n">
        <v>1</v>
      </c>
      <c r="D189" s="7" t="n">
        <v>0</v>
      </c>
      <c r="E189" s="7" t="n">
        <v>6</v>
      </c>
    </row>
    <row r="190" customFormat="false" ht="15.75" hidden="false" customHeight="false" outlineLevel="0" collapsed="false">
      <c r="A190" s="4" t="s">
        <v>191</v>
      </c>
      <c r="B190" s="7" t="n">
        <v>0</v>
      </c>
      <c r="C190" s="7" t="n">
        <v>2</v>
      </c>
      <c r="D190" s="7" t="n">
        <v>0</v>
      </c>
      <c r="E190" s="7" t="n">
        <v>2</v>
      </c>
    </row>
    <row r="191" customFormat="false" ht="15.75" hidden="false" customHeight="false" outlineLevel="0" collapsed="false">
      <c r="A191" s="6" t="s">
        <v>192</v>
      </c>
      <c r="B191" s="7" t="n">
        <v>3</v>
      </c>
      <c r="C191" s="7" t="n">
        <v>0</v>
      </c>
      <c r="D191" s="7" t="n">
        <v>0</v>
      </c>
      <c r="E191" s="7" t="n">
        <v>3</v>
      </c>
    </row>
    <row r="192" customFormat="false" ht="15.75" hidden="false" customHeight="false" outlineLevel="0" collapsed="false">
      <c r="A192" s="4" t="s">
        <v>193</v>
      </c>
      <c r="B192" s="7" t="n">
        <v>3</v>
      </c>
      <c r="C192" s="7" t="n">
        <v>0</v>
      </c>
      <c r="D192" s="7" t="n">
        <v>0</v>
      </c>
      <c r="E192" s="7" t="n">
        <v>3</v>
      </c>
    </row>
    <row r="193" customFormat="false" ht="15.75" hidden="false" customHeight="false" outlineLevel="0" collapsed="false">
      <c r="A193" s="6" t="s">
        <v>194</v>
      </c>
      <c r="B193" s="7" t="n">
        <v>1</v>
      </c>
      <c r="C193" s="7" t="n">
        <v>34</v>
      </c>
      <c r="D193" s="7" t="n">
        <v>21</v>
      </c>
      <c r="E193" s="7" t="n">
        <v>56</v>
      </c>
    </row>
    <row r="194" customFormat="false" ht="15.75" hidden="false" customHeight="false" outlineLevel="0" collapsed="false">
      <c r="A194" s="4" t="s">
        <v>195</v>
      </c>
      <c r="B194" s="7" t="n">
        <v>1</v>
      </c>
      <c r="C194" s="7" t="n">
        <v>0</v>
      </c>
      <c r="D194" s="7" t="n">
        <v>0</v>
      </c>
      <c r="E194" s="7" t="n">
        <v>1</v>
      </c>
    </row>
    <row r="195" customFormat="false" ht="15.75" hidden="false" customHeight="false" outlineLevel="0" collapsed="false">
      <c r="A195" s="4" t="s">
        <v>196</v>
      </c>
      <c r="B195" s="7" t="n">
        <v>0</v>
      </c>
      <c r="C195" s="7" t="n">
        <v>8</v>
      </c>
      <c r="D195" s="7" t="n">
        <v>8</v>
      </c>
      <c r="E195" s="7" t="n">
        <v>16</v>
      </c>
    </row>
    <row r="196" customFormat="false" ht="15.75" hidden="false" customHeight="false" outlineLevel="0" collapsed="false">
      <c r="A196" s="4" t="s">
        <v>197</v>
      </c>
      <c r="B196" s="7" t="n">
        <v>0</v>
      </c>
      <c r="C196" s="7" t="n">
        <v>0</v>
      </c>
      <c r="D196" s="7" t="n">
        <v>5</v>
      </c>
      <c r="E196" s="7" t="n">
        <v>5</v>
      </c>
    </row>
    <row r="197" customFormat="false" ht="15.75" hidden="false" customHeight="false" outlineLevel="0" collapsed="false">
      <c r="A197" s="4" t="s">
        <v>198</v>
      </c>
      <c r="B197" s="7" t="n">
        <v>0</v>
      </c>
      <c r="C197" s="7" t="n">
        <v>16</v>
      </c>
      <c r="D197" s="7" t="n">
        <v>8</v>
      </c>
      <c r="E197" s="7" t="n">
        <v>24</v>
      </c>
    </row>
    <row r="198" customFormat="false" ht="15.75" hidden="false" customHeight="false" outlineLevel="0" collapsed="false">
      <c r="A198" s="4" t="s">
        <v>199</v>
      </c>
      <c r="B198" s="7" t="n">
        <v>0</v>
      </c>
      <c r="C198" s="7" t="n">
        <v>10</v>
      </c>
      <c r="D198" s="7" t="n">
        <v>0</v>
      </c>
      <c r="E198" s="7" t="n">
        <v>10</v>
      </c>
    </row>
    <row r="199" customFormat="false" ht="15.75" hidden="false" customHeight="false" outlineLevel="0" collapsed="false">
      <c r="A199" s="6" t="s">
        <v>200</v>
      </c>
      <c r="B199" s="7" t="n">
        <v>0</v>
      </c>
      <c r="C199" s="7" t="n">
        <v>2</v>
      </c>
      <c r="D199" s="7" t="n">
        <v>2</v>
      </c>
      <c r="E199" s="7" t="n">
        <v>4</v>
      </c>
    </row>
    <row r="200" customFormat="false" ht="15.75" hidden="false" customHeight="false" outlineLevel="0" collapsed="false">
      <c r="A200" s="4" t="s">
        <v>201</v>
      </c>
      <c r="B200" s="7" t="n">
        <v>0</v>
      </c>
      <c r="C200" s="7" t="n">
        <v>2</v>
      </c>
      <c r="D200" s="7" t="n">
        <v>2</v>
      </c>
      <c r="E200" s="7" t="n">
        <v>4</v>
      </c>
    </row>
    <row r="201" customFormat="false" ht="15.75" hidden="false" customHeight="false" outlineLevel="0" collapsed="false">
      <c r="A201" s="6" t="s">
        <v>202</v>
      </c>
      <c r="B201" s="7" t="n">
        <v>1</v>
      </c>
      <c r="C201" s="7" t="n">
        <v>0</v>
      </c>
      <c r="D201" s="7" t="n">
        <v>12</v>
      </c>
      <c r="E201" s="7" t="n">
        <v>13</v>
      </c>
    </row>
    <row r="202" customFormat="false" ht="15.75" hidden="false" customHeight="false" outlineLevel="0" collapsed="false">
      <c r="A202" s="4" t="s">
        <v>203</v>
      </c>
      <c r="B202" s="7" t="n">
        <v>1</v>
      </c>
      <c r="C202" s="7" t="n">
        <v>0</v>
      </c>
      <c r="D202" s="7" t="n">
        <v>0</v>
      </c>
      <c r="E202" s="7" t="n">
        <v>1</v>
      </c>
    </row>
    <row r="203" customFormat="false" ht="15.75" hidden="false" customHeight="false" outlineLevel="0" collapsed="false">
      <c r="A203" s="4" t="s">
        <v>204</v>
      </c>
      <c r="B203" s="7" t="n">
        <v>0</v>
      </c>
      <c r="C203" s="7" t="n">
        <v>0</v>
      </c>
      <c r="D203" s="7" t="n">
        <v>10</v>
      </c>
      <c r="E203" s="7" t="n">
        <v>10</v>
      </c>
    </row>
    <row r="204" customFormat="false" ht="15.75" hidden="false" customHeight="false" outlineLevel="0" collapsed="false">
      <c r="A204" s="4" t="s">
        <v>205</v>
      </c>
      <c r="B204" s="7" t="n">
        <v>0</v>
      </c>
      <c r="C204" s="7" t="n">
        <v>0</v>
      </c>
      <c r="D204" s="7" t="n">
        <v>1</v>
      </c>
      <c r="E204" s="7" t="n">
        <v>1</v>
      </c>
    </row>
    <row r="205" customFormat="false" ht="15.75" hidden="false" customHeight="false" outlineLevel="0" collapsed="false">
      <c r="A205" s="4" t="s">
        <v>206</v>
      </c>
      <c r="B205" s="7" t="n">
        <v>0</v>
      </c>
      <c r="C205" s="7" t="n">
        <v>0</v>
      </c>
      <c r="D205" s="7" t="n">
        <v>1</v>
      </c>
      <c r="E205" s="7" t="n">
        <v>1</v>
      </c>
    </row>
    <row r="206" customFormat="false" ht="15.75" hidden="false" customHeight="false" outlineLevel="0" collapsed="false">
      <c r="A206" s="6" t="s">
        <v>207</v>
      </c>
      <c r="B206" s="7" t="n">
        <v>5</v>
      </c>
      <c r="C206" s="7" t="n">
        <v>0</v>
      </c>
      <c r="D206" s="7" t="n">
        <v>1</v>
      </c>
      <c r="E206" s="7" t="n">
        <v>6</v>
      </c>
    </row>
    <row r="207" customFormat="false" ht="15.75" hidden="false" customHeight="false" outlineLevel="0" collapsed="false">
      <c r="A207" s="4" t="s">
        <v>208</v>
      </c>
      <c r="B207" s="7" t="n">
        <v>5</v>
      </c>
      <c r="C207" s="7" t="n">
        <v>0</v>
      </c>
      <c r="D207" s="7" t="n">
        <v>0</v>
      </c>
      <c r="E207" s="7" t="n">
        <v>5</v>
      </c>
    </row>
    <row r="208" customFormat="false" ht="15.75" hidden="false" customHeight="false" outlineLevel="0" collapsed="false">
      <c r="A208" s="4" t="s">
        <v>209</v>
      </c>
      <c r="B208" s="7" t="n">
        <v>0</v>
      </c>
      <c r="C208" s="7" t="n">
        <v>0</v>
      </c>
      <c r="D208" s="7" t="n">
        <v>1</v>
      </c>
      <c r="E208" s="7" t="n">
        <v>1</v>
      </c>
    </row>
    <row r="209" customFormat="false" ht="15.75" hidden="false" customHeight="false" outlineLevel="0" collapsed="false">
      <c r="A209" s="6" t="s">
        <v>210</v>
      </c>
      <c r="B209" s="7" t="n">
        <v>20</v>
      </c>
      <c r="C209" s="7" t="n">
        <v>32</v>
      </c>
      <c r="D209" s="7" t="n">
        <v>11</v>
      </c>
      <c r="E209" s="7" t="n">
        <v>63</v>
      </c>
    </row>
    <row r="210" customFormat="false" ht="15.75" hidden="false" customHeight="false" outlineLevel="0" collapsed="false">
      <c r="A210" s="4" t="s">
        <v>211</v>
      </c>
      <c r="B210" s="7" t="n">
        <v>1</v>
      </c>
      <c r="C210" s="7" t="n">
        <v>8</v>
      </c>
      <c r="D210" s="7" t="n">
        <v>7</v>
      </c>
      <c r="E210" s="7" t="n">
        <v>16</v>
      </c>
    </row>
    <row r="211" customFormat="false" ht="15.75" hidden="false" customHeight="false" outlineLevel="0" collapsed="false">
      <c r="A211" s="4" t="s">
        <v>212</v>
      </c>
      <c r="B211" s="7" t="n">
        <v>5</v>
      </c>
      <c r="C211" s="7" t="n">
        <v>1</v>
      </c>
      <c r="D211" s="7" t="n">
        <v>0</v>
      </c>
      <c r="E211" s="7" t="n">
        <v>6</v>
      </c>
    </row>
    <row r="212" customFormat="false" ht="15.75" hidden="false" customHeight="false" outlineLevel="0" collapsed="false">
      <c r="A212" s="4" t="s">
        <v>213</v>
      </c>
      <c r="B212" s="7" t="n">
        <v>13</v>
      </c>
      <c r="C212" s="7" t="n">
        <v>23</v>
      </c>
      <c r="D212" s="7" t="n">
        <v>0</v>
      </c>
      <c r="E212" s="7" t="n">
        <v>36</v>
      </c>
    </row>
    <row r="213" customFormat="false" ht="15.75" hidden="false" customHeight="false" outlineLevel="0" collapsed="false">
      <c r="A213" s="4" t="s">
        <v>214</v>
      </c>
      <c r="B213" s="7" t="n">
        <v>1</v>
      </c>
      <c r="C213" s="7" t="n">
        <v>0</v>
      </c>
      <c r="D213" s="7" t="n">
        <v>4</v>
      </c>
      <c r="E213" s="7" t="n">
        <v>5</v>
      </c>
    </row>
    <row r="214" customFormat="false" ht="15.75" hidden="false" customHeight="false" outlineLevel="0" collapsed="false">
      <c r="A214" s="6" t="s">
        <v>215</v>
      </c>
      <c r="B214" s="7" t="n">
        <v>2</v>
      </c>
      <c r="C214" s="7" t="n">
        <v>0</v>
      </c>
      <c r="D214" s="7" t="n">
        <v>8</v>
      </c>
      <c r="E214" s="7" t="n">
        <v>10</v>
      </c>
    </row>
    <row r="215" customFormat="false" ht="15.75" hidden="false" customHeight="false" outlineLevel="0" collapsed="false">
      <c r="A215" s="4" t="s">
        <v>216</v>
      </c>
      <c r="B215" s="7" t="n">
        <v>2</v>
      </c>
      <c r="C215" s="7" t="n">
        <v>0</v>
      </c>
      <c r="D215" s="7" t="n">
        <v>8</v>
      </c>
      <c r="E215" s="7" t="n">
        <v>10</v>
      </c>
    </row>
    <row r="216" customFormat="false" ht="15.75" hidden="false" customHeight="false" outlineLevel="0" collapsed="false">
      <c r="A216" s="6" t="s">
        <v>217</v>
      </c>
      <c r="B216" s="7" t="n">
        <v>58</v>
      </c>
      <c r="C216" s="7" t="n">
        <v>47</v>
      </c>
      <c r="D216" s="7" t="n">
        <v>176</v>
      </c>
      <c r="E216" s="7" t="n">
        <v>281</v>
      </c>
    </row>
    <row r="217" customFormat="false" ht="15.75" hidden="false" customHeight="false" outlineLevel="0" collapsed="false">
      <c r="A217" s="4" t="s">
        <v>218</v>
      </c>
      <c r="B217" s="7" t="n">
        <v>0</v>
      </c>
      <c r="C217" s="7" t="n">
        <v>1</v>
      </c>
      <c r="D217" s="7" t="n">
        <v>0</v>
      </c>
      <c r="E217" s="7" t="n">
        <v>1</v>
      </c>
    </row>
    <row r="218" customFormat="false" ht="15.75" hidden="false" customHeight="false" outlineLevel="0" collapsed="false">
      <c r="A218" s="4" t="s">
        <v>219</v>
      </c>
      <c r="B218" s="7" t="n">
        <v>1</v>
      </c>
      <c r="C218" s="7" t="n">
        <v>6</v>
      </c>
      <c r="D218" s="7" t="n">
        <v>5</v>
      </c>
      <c r="E218" s="7" t="n">
        <v>12</v>
      </c>
    </row>
    <row r="219" customFormat="false" ht="15.75" hidden="false" customHeight="false" outlineLevel="0" collapsed="false">
      <c r="A219" s="4" t="s">
        <v>220</v>
      </c>
      <c r="B219" s="7" t="n">
        <v>0</v>
      </c>
      <c r="C219" s="7" t="n">
        <v>0</v>
      </c>
      <c r="D219" s="7" t="n">
        <v>2</v>
      </c>
      <c r="E219" s="7" t="n">
        <v>2</v>
      </c>
    </row>
    <row r="220" customFormat="false" ht="15.75" hidden="false" customHeight="false" outlineLevel="0" collapsed="false">
      <c r="A220" s="4" t="s">
        <v>221</v>
      </c>
      <c r="B220" s="7" t="n">
        <v>1</v>
      </c>
      <c r="C220" s="7" t="n">
        <v>0</v>
      </c>
      <c r="D220" s="7" t="n">
        <v>0</v>
      </c>
      <c r="E220" s="7" t="n">
        <v>1</v>
      </c>
    </row>
    <row r="221" customFormat="false" ht="15.75" hidden="false" customHeight="false" outlineLevel="0" collapsed="false">
      <c r="A221" s="4" t="s">
        <v>222</v>
      </c>
      <c r="B221" s="7" t="n">
        <v>29</v>
      </c>
      <c r="C221" s="7" t="n">
        <v>0</v>
      </c>
      <c r="D221" s="7" t="n">
        <v>0</v>
      </c>
      <c r="E221" s="7" t="n">
        <v>29</v>
      </c>
    </row>
    <row r="222" customFormat="false" ht="15.75" hidden="false" customHeight="false" outlineLevel="0" collapsed="false">
      <c r="A222" s="4" t="s">
        <v>223</v>
      </c>
      <c r="B222" s="7" t="n">
        <v>0</v>
      </c>
      <c r="C222" s="7" t="n">
        <v>0</v>
      </c>
      <c r="D222" s="7" t="n">
        <v>1</v>
      </c>
      <c r="E222" s="7" t="n">
        <v>1</v>
      </c>
    </row>
    <row r="223" customFormat="false" ht="15.75" hidden="false" customHeight="false" outlineLevel="0" collapsed="false">
      <c r="A223" s="4" t="s">
        <v>224</v>
      </c>
      <c r="B223" s="7" t="n">
        <v>1</v>
      </c>
      <c r="C223" s="7" t="n">
        <v>4</v>
      </c>
      <c r="D223" s="7" t="n">
        <v>0</v>
      </c>
      <c r="E223" s="7" t="n">
        <v>5</v>
      </c>
    </row>
    <row r="224" customFormat="false" ht="15.75" hidden="false" customHeight="false" outlineLevel="0" collapsed="false">
      <c r="A224" s="4" t="s">
        <v>225</v>
      </c>
      <c r="B224" s="7" t="n">
        <v>0</v>
      </c>
      <c r="C224" s="7" t="n">
        <v>7</v>
      </c>
      <c r="D224" s="7" t="n">
        <v>4</v>
      </c>
      <c r="E224" s="7" t="n">
        <v>11</v>
      </c>
    </row>
    <row r="225" customFormat="false" ht="15.75" hidden="false" customHeight="false" outlineLevel="0" collapsed="false">
      <c r="A225" s="4" t="s">
        <v>226</v>
      </c>
      <c r="B225" s="7" t="n">
        <v>2</v>
      </c>
      <c r="C225" s="7" t="n">
        <v>8</v>
      </c>
      <c r="D225" s="7" t="n">
        <v>0</v>
      </c>
      <c r="E225" s="7" t="n">
        <v>10</v>
      </c>
    </row>
    <row r="226" customFormat="false" ht="15.75" hidden="false" customHeight="false" outlineLevel="0" collapsed="false">
      <c r="A226" s="4" t="s">
        <v>227</v>
      </c>
      <c r="B226" s="7" t="n">
        <v>3</v>
      </c>
      <c r="C226" s="7" t="n">
        <v>1</v>
      </c>
      <c r="D226" s="7" t="n">
        <v>2</v>
      </c>
      <c r="E226" s="7" t="n">
        <v>6</v>
      </c>
    </row>
    <row r="227" customFormat="false" ht="15.75" hidden="false" customHeight="false" outlineLevel="0" collapsed="false">
      <c r="A227" s="4" t="s">
        <v>228</v>
      </c>
      <c r="B227" s="7" t="n">
        <v>0</v>
      </c>
      <c r="C227" s="7" t="n">
        <v>7</v>
      </c>
      <c r="D227" s="7" t="n">
        <v>71</v>
      </c>
      <c r="E227" s="7" t="n">
        <v>78</v>
      </c>
    </row>
    <row r="228" customFormat="false" ht="15.75" hidden="false" customHeight="false" outlineLevel="0" collapsed="false">
      <c r="A228" s="4" t="s">
        <v>229</v>
      </c>
      <c r="B228" s="7" t="n">
        <v>4</v>
      </c>
      <c r="C228" s="7" t="n">
        <v>0</v>
      </c>
      <c r="D228" s="7" t="n">
        <v>0</v>
      </c>
      <c r="E228" s="7" t="n">
        <v>4</v>
      </c>
    </row>
    <row r="229" customFormat="false" ht="15.75" hidden="false" customHeight="false" outlineLevel="0" collapsed="false">
      <c r="A229" s="4" t="s">
        <v>230</v>
      </c>
      <c r="B229" s="7" t="n">
        <v>9</v>
      </c>
      <c r="C229" s="7" t="n">
        <v>11</v>
      </c>
      <c r="D229" s="7" t="n">
        <v>38</v>
      </c>
      <c r="E229" s="7" t="n">
        <v>58</v>
      </c>
    </row>
    <row r="230" customFormat="false" ht="15.75" hidden="false" customHeight="false" outlineLevel="0" collapsed="false">
      <c r="A230" s="4" t="s">
        <v>231</v>
      </c>
      <c r="B230" s="7" t="n">
        <v>5</v>
      </c>
      <c r="C230" s="7" t="n">
        <v>2</v>
      </c>
      <c r="D230" s="7" t="n">
        <v>37</v>
      </c>
      <c r="E230" s="7" t="n">
        <v>44</v>
      </c>
    </row>
    <row r="231" customFormat="false" ht="15.75" hidden="false" customHeight="false" outlineLevel="0" collapsed="false">
      <c r="A231" s="4" t="s">
        <v>232</v>
      </c>
      <c r="B231" s="7" t="n">
        <v>3</v>
      </c>
      <c r="C231" s="7" t="n">
        <v>0</v>
      </c>
      <c r="D231" s="7" t="n">
        <v>16</v>
      </c>
      <c r="E231" s="7" t="n">
        <v>19</v>
      </c>
    </row>
    <row r="232" customFormat="false" ht="15.75" hidden="false" customHeight="false" outlineLevel="0" collapsed="false">
      <c r="A232" s="6" t="s">
        <v>233</v>
      </c>
      <c r="B232" s="7" t="n">
        <v>6</v>
      </c>
      <c r="C232" s="7" t="n">
        <v>0</v>
      </c>
      <c r="D232" s="7" t="n">
        <v>1</v>
      </c>
      <c r="E232" s="7" t="n">
        <v>7</v>
      </c>
    </row>
    <row r="233" customFormat="false" ht="15.75" hidden="false" customHeight="false" outlineLevel="0" collapsed="false">
      <c r="A233" s="4" t="s">
        <v>234</v>
      </c>
      <c r="B233" s="7" t="n">
        <v>0</v>
      </c>
      <c r="C233" s="7" t="n">
        <v>0</v>
      </c>
      <c r="D233" s="7" t="n">
        <v>1</v>
      </c>
      <c r="E233" s="7" t="n">
        <v>1</v>
      </c>
    </row>
    <row r="234" customFormat="false" ht="15.75" hidden="false" customHeight="false" outlineLevel="0" collapsed="false">
      <c r="A234" s="4" t="s">
        <v>235</v>
      </c>
      <c r="B234" s="7" t="n">
        <v>6</v>
      </c>
      <c r="C234" s="7" t="n">
        <v>0</v>
      </c>
      <c r="D234" s="7" t="n">
        <v>0</v>
      </c>
      <c r="E234" s="7" t="n">
        <v>6</v>
      </c>
    </row>
    <row r="235" customFormat="false" ht="15.75" hidden="false" customHeight="false" outlineLevel="0" collapsed="false">
      <c r="A235" s="6" t="s">
        <v>236</v>
      </c>
      <c r="B235" s="7" t="n">
        <v>0</v>
      </c>
      <c r="C235" s="7" t="n">
        <v>5</v>
      </c>
      <c r="D235" s="7" t="n">
        <v>0</v>
      </c>
      <c r="E235" s="7" t="n">
        <v>5</v>
      </c>
    </row>
    <row r="236" customFormat="false" ht="15.75" hidden="false" customHeight="false" outlineLevel="0" collapsed="false">
      <c r="A236" s="4" t="s">
        <v>237</v>
      </c>
      <c r="B236" s="7" t="n">
        <v>0</v>
      </c>
      <c r="C236" s="7" t="n">
        <v>5</v>
      </c>
      <c r="D236" s="7" t="n">
        <v>0</v>
      </c>
      <c r="E236" s="7" t="n">
        <v>5</v>
      </c>
    </row>
    <row r="237" customFormat="false" ht="15.75" hidden="false" customHeight="false" outlineLevel="0" collapsed="false">
      <c r="A237" s="6" t="s">
        <v>238</v>
      </c>
      <c r="B237" s="7" t="n">
        <v>2</v>
      </c>
      <c r="C237" s="7" t="n">
        <v>19</v>
      </c>
      <c r="D237" s="7" t="n">
        <v>16</v>
      </c>
      <c r="E237" s="7" t="n">
        <v>37</v>
      </c>
    </row>
    <row r="238" customFormat="false" ht="15.75" hidden="false" customHeight="false" outlineLevel="0" collapsed="false">
      <c r="A238" s="4" t="s">
        <v>239</v>
      </c>
      <c r="B238" s="7" t="n">
        <v>0</v>
      </c>
      <c r="C238" s="7" t="n">
        <v>19</v>
      </c>
      <c r="D238" s="7" t="n">
        <v>1</v>
      </c>
      <c r="E238" s="7" t="n">
        <v>20</v>
      </c>
    </row>
    <row r="239" customFormat="false" ht="15.75" hidden="false" customHeight="false" outlineLevel="0" collapsed="false">
      <c r="A239" s="4" t="s">
        <v>240</v>
      </c>
      <c r="B239" s="7" t="n">
        <v>2</v>
      </c>
      <c r="C239" s="7" t="n">
        <v>0</v>
      </c>
      <c r="D239" s="7" t="n">
        <v>15</v>
      </c>
      <c r="E239" s="7" t="n">
        <v>17</v>
      </c>
    </row>
    <row r="240" customFormat="false" ht="15.75" hidden="false" customHeight="false" outlineLevel="0" collapsed="false">
      <c r="A240" s="6" t="s">
        <v>241</v>
      </c>
      <c r="B240" s="7" t="n">
        <v>4</v>
      </c>
      <c r="C240" s="7" t="n">
        <v>7</v>
      </c>
      <c r="D240" s="7" t="n">
        <v>0</v>
      </c>
      <c r="E240" s="7" t="n">
        <v>11</v>
      </c>
    </row>
    <row r="241" customFormat="false" ht="15.75" hidden="false" customHeight="false" outlineLevel="0" collapsed="false">
      <c r="A241" s="4" t="s">
        <v>242</v>
      </c>
      <c r="B241" s="7" t="n">
        <v>4</v>
      </c>
      <c r="C241" s="7" t="n">
        <v>7</v>
      </c>
      <c r="D241" s="7" t="n">
        <v>0</v>
      </c>
      <c r="E241" s="7" t="n">
        <v>11</v>
      </c>
    </row>
    <row r="242" customFormat="false" ht="15.75" hidden="false" customHeight="false" outlineLevel="0" collapsed="false">
      <c r="A242" s="6" t="s">
        <v>243</v>
      </c>
      <c r="B242" s="7" t="n">
        <v>8</v>
      </c>
      <c r="C242" s="7" t="n">
        <v>24</v>
      </c>
      <c r="D242" s="7" t="n">
        <v>4</v>
      </c>
      <c r="E242" s="7" t="n">
        <v>36</v>
      </c>
    </row>
    <row r="243" customFormat="false" ht="15.75" hidden="false" customHeight="false" outlineLevel="0" collapsed="false">
      <c r="A243" s="4" t="s">
        <v>244</v>
      </c>
      <c r="B243" s="7" t="n">
        <v>0</v>
      </c>
      <c r="C243" s="7" t="n">
        <v>4</v>
      </c>
      <c r="D243" s="7" t="n">
        <v>0</v>
      </c>
      <c r="E243" s="7" t="n">
        <v>4</v>
      </c>
    </row>
    <row r="244" customFormat="false" ht="15.75" hidden="false" customHeight="false" outlineLevel="0" collapsed="false">
      <c r="A244" s="4" t="s">
        <v>195</v>
      </c>
      <c r="B244" s="7" t="n">
        <v>8</v>
      </c>
      <c r="C244" s="7" t="n">
        <v>0</v>
      </c>
      <c r="D244" s="7" t="n">
        <v>0</v>
      </c>
      <c r="E244" s="7" t="n">
        <v>8</v>
      </c>
    </row>
    <row r="245" customFormat="false" ht="15.75" hidden="false" customHeight="false" outlineLevel="0" collapsed="false">
      <c r="A245" s="4" t="s">
        <v>245</v>
      </c>
      <c r="B245" s="7" t="n">
        <v>0</v>
      </c>
      <c r="C245" s="7" t="n">
        <v>20</v>
      </c>
      <c r="D245" s="7" t="n">
        <v>4</v>
      </c>
      <c r="E245" s="7" t="n">
        <v>24</v>
      </c>
    </row>
    <row r="246" customFormat="false" ht="15.75" hidden="false" customHeight="false" outlineLevel="0" collapsed="false">
      <c r="A246" s="6" t="s">
        <v>246</v>
      </c>
      <c r="B246" s="7" t="n">
        <v>22</v>
      </c>
      <c r="C246" s="7" t="n">
        <v>4</v>
      </c>
      <c r="D246" s="7" t="n">
        <v>5</v>
      </c>
      <c r="E246" s="7" t="n">
        <v>31</v>
      </c>
    </row>
    <row r="247" customFormat="false" ht="15.75" hidden="false" customHeight="false" outlineLevel="0" collapsed="false">
      <c r="A247" s="4" t="s">
        <v>247</v>
      </c>
      <c r="B247" s="7" t="n">
        <v>22</v>
      </c>
      <c r="C247" s="7" t="n">
        <v>4</v>
      </c>
      <c r="D247" s="7" t="n">
        <v>5</v>
      </c>
      <c r="E247" s="7" t="n">
        <v>31</v>
      </c>
    </row>
    <row r="248" customFormat="false" ht="15.75" hidden="false" customHeight="false" outlineLevel="0" collapsed="false">
      <c r="A248" s="6" t="s">
        <v>248</v>
      </c>
      <c r="B248" s="7" t="n">
        <v>1</v>
      </c>
      <c r="C248" s="7" t="n">
        <v>39</v>
      </c>
      <c r="D248" s="7" t="n">
        <v>84</v>
      </c>
      <c r="E248" s="7" t="n">
        <v>124</v>
      </c>
    </row>
    <row r="249" customFormat="false" ht="15.75" hidden="false" customHeight="false" outlineLevel="0" collapsed="false">
      <c r="A249" s="4" t="s">
        <v>249</v>
      </c>
      <c r="B249" s="7" t="n">
        <v>1</v>
      </c>
      <c r="C249" s="7" t="n">
        <v>39</v>
      </c>
      <c r="D249" s="7" t="n">
        <v>84</v>
      </c>
      <c r="E249" s="7" t="n">
        <v>124</v>
      </c>
    </row>
    <row r="250" customFormat="false" ht="15.75" hidden="false" customHeight="false" outlineLevel="0" collapsed="false">
      <c r="A250" s="6" t="s">
        <v>250</v>
      </c>
      <c r="B250" s="7" t="n">
        <v>0</v>
      </c>
      <c r="C250" s="7" t="n">
        <v>2</v>
      </c>
      <c r="D250" s="7" t="n">
        <v>2</v>
      </c>
      <c r="E250" s="7" t="n">
        <v>4</v>
      </c>
    </row>
    <row r="251" customFormat="false" ht="15.75" hidden="false" customHeight="false" outlineLevel="0" collapsed="false">
      <c r="A251" s="4" t="s">
        <v>251</v>
      </c>
      <c r="B251" s="7" t="n">
        <v>0</v>
      </c>
      <c r="C251" s="7" t="n">
        <v>2</v>
      </c>
      <c r="D251" s="7" t="n">
        <v>2</v>
      </c>
      <c r="E251" s="7" t="n">
        <v>4</v>
      </c>
    </row>
    <row r="252" customFormat="false" ht="15.75" hidden="false" customHeight="false" outlineLevel="0" collapsed="false">
      <c r="A252" s="6" t="s">
        <v>252</v>
      </c>
      <c r="B252" s="7" t="n">
        <v>6</v>
      </c>
      <c r="C252" s="7" t="n">
        <v>0</v>
      </c>
      <c r="D252" s="7" t="n">
        <v>0</v>
      </c>
      <c r="E252" s="7" t="n">
        <v>6</v>
      </c>
    </row>
    <row r="253" customFormat="false" ht="15.75" hidden="false" customHeight="false" outlineLevel="0" collapsed="false">
      <c r="A253" s="4" t="s">
        <v>253</v>
      </c>
      <c r="B253" s="7" t="n">
        <v>6</v>
      </c>
      <c r="C253" s="7" t="n">
        <v>0</v>
      </c>
      <c r="D253" s="7" t="n">
        <v>0</v>
      </c>
      <c r="E253" s="7" t="n">
        <v>6</v>
      </c>
    </row>
    <row r="254" customFormat="false" ht="15.75" hidden="false" customHeight="false" outlineLevel="0" collapsed="false">
      <c r="A254" s="4" t="s">
        <v>6</v>
      </c>
      <c r="B254" s="7" t="n">
        <v>1028</v>
      </c>
      <c r="C254" s="7" t="n">
        <v>1572</v>
      </c>
      <c r="D254" s="7" t="n">
        <v>2032</v>
      </c>
      <c r="E254" s="7" t="n">
        <v>4632</v>
      </c>
    </row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customFormat="false" ht="17.9" hidden="false" customHeight="false" outlineLevel="0" collapsed="false">
      <c r="A1" s="1" t="s">
        <v>254</v>
      </c>
      <c r="B1" s="1"/>
      <c r="C1" s="1"/>
      <c r="D1" s="1"/>
      <c r="E1" s="1"/>
    </row>
    <row r="2" customFormat="false" ht="15.75" hidden="false" customHeight="false" outlineLevel="0" collapsed="false">
      <c r="A2" s="1"/>
      <c r="B2" s="1"/>
      <c r="C2" s="1"/>
      <c r="D2" s="1"/>
      <c r="E2" s="1"/>
    </row>
    <row r="3" customFormat="false" ht="15.75" hidden="false" customHeight="false" outlineLevel="0" collapsed="false">
      <c r="A3" s="0" t="s">
        <v>255</v>
      </c>
      <c r="B3" s="0" t="s">
        <v>256</v>
      </c>
      <c r="C3" s="0" t="s">
        <v>257</v>
      </c>
      <c r="D3" s="0" t="s">
        <v>258</v>
      </c>
      <c r="E3" s="0" t="s">
        <v>259</v>
      </c>
      <c r="F3" s="0" t="s">
        <v>260</v>
      </c>
      <c r="H3" s="1"/>
      <c r="I3" s="1"/>
    </row>
    <row r="4" customFormat="false" ht="15.75" hidden="false" customHeight="false" outlineLevel="0" collapsed="false">
      <c r="A4" s="0" t="s">
        <v>261</v>
      </c>
      <c r="B4" s="0" t="s">
        <v>5</v>
      </c>
      <c r="C4" s="0" t="n">
        <v>30</v>
      </c>
      <c r="D4" s="0" t="n">
        <v>34.15</v>
      </c>
      <c r="E4" s="0" t="n">
        <v>17.65</v>
      </c>
      <c r="F4" s="0" t="n">
        <v>20.38</v>
      </c>
      <c r="H4" s="1"/>
      <c r="I4" s="1"/>
    </row>
    <row r="5" customFormat="false" ht="15.75" hidden="false" customHeight="false" outlineLevel="0" collapsed="false">
      <c r="A5" s="0" t="s">
        <v>262</v>
      </c>
      <c r="B5" s="0" t="s">
        <v>5</v>
      </c>
      <c r="C5" s="0" t="n">
        <v>14</v>
      </c>
      <c r="D5" s="0" t="n">
        <v>2.83</v>
      </c>
      <c r="E5" s="0" t="n">
        <v>5.08</v>
      </c>
      <c r="F5" s="0" t="n">
        <v>48.46</v>
      </c>
      <c r="H5" s="1"/>
      <c r="I5" s="1"/>
    </row>
    <row r="6" customFormat="false" ht="15.75" hidden="false" customHeight="false" outlineLevel="0" collapsed="false">
      <c r="A6" s="0" t="s">
        <v>263</v>
      </c>
      <c r="B6" s="0" t="s">
        <v>5</v>
      </c>
      <c r="C6" s="0" t="n">
        <v>7</v>
      </c>
      <c r="D6" s="0" t="n">
        <v>11.73</v>
      </c>
      <c r="E6" s="0" t="n">
        <v>5.75</v>
      </c>
      <c r="F6" s="0" t="n">
        <v>24.3</v>
      </c>
      <c r="H6" s="1"/>
      <c r="I6" s="1"/>
    </row>
    <row r="7" customFormat="false" ht="15.75" hidden="false" customHeight="false" outlineLevel="0" collapsed="false">
      <c r="A7" s="0" t="s">
        <v>264</v>
      </c>
      <c r="B7" s="0" t="s">
        <v>5</v>
      </c>
      <c r="C7" s="0" t="n">
        <v>20</v>
      </c>
      <c r="D7" s="0" t="n">
        <v>7.51</v>
      </c>
      <c r="E7" s="0" t="n">
        <v>14.4</v>
      </c>
      <c r="F7" s="0" t="n">
        <v>63.44</v>
      </c>
      <c r="H7" s="1"/>
      <c r="I7" s="1"/>
    </row>
    <row r="8" customFormat="false" ht="15.75" hidden="false" customHeight="false" outlineLevel="0" collapsed="false">
      <c r="A8" s="0" t="s">
        <v>265</v>
      </c>
      <c r="B8" s="0" t="s">
        <v>5</v>
      </c>
      <c r="C8" s="0" t="n">
        <v>17</v>
      </c>
      <c r="D8" s="0" t="n">
        <v>14.73</v>
      </c>
      <c r="E8" s="0" t="n">
        <v>9.47</v>
      </c>
      <c r="F8" s="0" t="n">
        <v>20.3</v>
      </c>
      <c r="H8" s="1"/>
      <c r="I8" s="1"/>
    </row>
    <row r="9" customFormat="false" ht="15.75" hidden="false" customHeight="false" outlineLevel="0" collapsed="false">
      <c r="A9" s="0" t="s">
        <v>266</v>
      </c>
      <c r="B9" s="0" t="s">
        <v>5</v>
      </c>
      <c r="C9" s="0" t="n">
        <v>30</v>
      </c>
      <c r="D9" s="0" t="n">
        <v>20.2</v>
      </c>
      <c r="E9" s="0" t="n">
        <v>14.43</v>
      </c>
      <c r="F9" s="0" t="n">
        <v>36.23</v>
      </c>
      <c r="H9" s="1"/>
      <c r="I9" s="1"/>
    </row>
    <row r="10" customFormat="false" ht="15.75" hidden="false" customHeight="false" outlineLevel="0" collapsed="false">
      <c r="A10" s="0" t="s">
        <v>267</v>
      </c>
      <c r="B10" s="0" t="s">
        <v>5</v>
      </c>
      <c r="C10" s="0" t="n">
        <v>15</v>
      </c>
      <c r="D10" s="0" t="n">
        <v>25.91</v>
      </c>
      <c r="E10" s="0" t="n">
        <v>9.11</v>
      </c>
      <c r="F10" s="0" t="n">
        <v>44.61</v>
      </c>
      <c r="H10" s="1"/>
      <c r="I10" s="8"/>
    </row>
    <row r="11" customFormat="false" ht="15.75" hidden="false" customHeight="false" outlineLevel="0" collapsed="false">
      <c r="A11" s="0" t="s">
        <v>268</v>
      </c>
      <c r="B11" s="0" t="s">
        <v>5</v>
      </c>
      <c r="C11" s="0" t="n">
        <v>18</v>
      </c>
      <c r="D11" s="0" t="n">
        <v>6.1</v>
      </c>
      <c r="E11" s="0" t="n">
        <v>9.84</v>
      </c>
      <c r="F11" s="0" t="n">
        <v>18.66</v>
      </c>
      <c r="H11" s="1"/>
      <c r="I11" s="1"/>
    </row>
    <row r="12" customFormat="false" ht="15.75" hidden="false" customHeight="false" outlineLevel="0" collapsed="false">
      <c r="A12" s="0" t="s">
        <v>269</v>
      </c>
      <c r="B12" s="0" t="s">
        <v>5</v>
      </c>
      <c r="C12" s="0" t="n">
        <v>15</v>
      </c>
      <c r="D12" s="0" t="n">
        <v>3.03</v>
      </c>
      <c r="E12" s="0" t="n">
        <v>6.31</v>
      </c>
      <c r="F12" s="0" t="n">
        <v>77.57</v>
      </c>
      <c r="H12" s="1"/>
      <c r="I12" s="1"/>
    </row>
    <row r="13" customFormat="false" ht="15.75" hidden="false" customHeight="false" outlineLevel="0" collapsed="false">
      <c r="A13" s="0" t="s">
        <v>270</v>
      </c>
      <c r="B13" s="0" t="s">
        <v>5</v>
      </c>
      <c r="C13" s="0" t="n">
        <v>20</v>
      </c>
      <c r="D13" s="0" t="n">
        <v>4.5</v>
      </c>
      <c r="E13" s="0" t="n">
        <v>6.02</v>
      </c>
      <c r="F13" s="0" t="n">
        <v>85.93</v>
      </c>
      <c r="H13" s="1"/>
      <c r="I13" s="1"/>
    </row>
    <row r="14" customFormat="false" ht="15.75" hidden="false" customHeight="false" outlineLevel="0" collapsed="false">
      <c r="A14" s="0" t="s">
        <v>271</v>
      </c>
      <c r="B14" s="0" t="s">
        <v>4</v>
      </c>
      <c r="C14" s="0" t="n">
        <v>33</v>
      </c>
      <c r="D14" s="0" t="n">
        <v>1.31</v>
      </c>
      <c r="E14" s="0" t="n">
        <v>4.66</v>
      </c>
      <c r="F14" s="0" t="n">
        <v>13.41</v>
      </c>
      <c r="H14" s="1"/>
      <c r="I14" s="1"/>
    </row>
    <row r="15" customFormat="false" ht="15.75" hidden="false" customHeight="false" outlineLevel="0" collapsed="false">
      <c r="A15" s="0" t="s">
        <v>272</v>
      </c>
      <c r="B15" s="0" t="s">
        <v>4</v>
      </c>
      <c r="C15" s="0" t="n">
        <v>13</v>
      </c>
      <c r="D15" s="0" t="n">
        <v>0.69</v>
      </c>
      <c r="E15" s="0" t="n">
        <v>2.37</v>
      </c>
      <c r="F15" s="0" t="n">
        <v>16.37</v>
      </c>
      <c r="H15" s="1"/>
      <c r="I15" s="1"/>
    </row>
    <row r="16" customFormat="false" ht="15.75" hidden="false" customHeight="false" outlineLevel="0" collapsed="false">
      <c r="A16" s="0" t="s">
        <v>273</v>
      </c>
      <c r="B16" s="0" t="s">
        <v>4</v>
      </c>
      <c r="C16" s="0" t="n">
        <v>12</v>
      </c>
      <c r="D16" s="0" t="n">
        <v>0.41</v>
      </c>
      <c r="E16" s="0" t="n">
        <v>1.06</v>
      </c>
      <c r="F16" s="0" t="n">
        <v>29.01</v>
      </c>
      <c r="H16" s="1"/>
      <c r="I16" s="1"/>
    </row>
    <row r="17" customFormat="false" ht="15.75" hidden="false" customHeight="false" outlineLevel="0" collapsed="false">
      <c r="A17" s="0" t="s">
        <v>274</v>
      </c>
      <c r="B17" s="0" t="s">
        <v>4</v>
      </c>
      <c r="C17" s="0" t="n">
        <v>27</v>
      </c>
      <c r="D17" s="0" t="n">
        <v>4.13</v>
      </c>
      <c r="E17" s="0" t="n">
        <v>4.27</v>
      </c>
      <c r="F17" s="0" t="n">
        <v>29.01</v>
      </c>
      <c r="H17" s="1"/>
      <c r="I17" s="1"/>
    </row>
    <row r="18" customFormat="false" ht="15.75" hidden="false" customHeight="false" outlineLevel="0" collapsed="false">
      <c r="A18" s="0" t="s">
        <v>275</v>
      </c>
      <c r="B18" s="0" t="s">
        <v>4</v>
      </c>
      <c r="C18" s="0" t="n">
        <v>8</v>
      </c>
      <c r="D18" s="0" t="n">
        <v>2.92</v>
      </c>
      <c r="E18" s="0" t="n">
        <v>7.03</v>
      </c>
      <c r="F18" s="0" t="n">
        <v>18.65</v>
      </c>
      <c r="H18" s="1"/>
      <c r="I18" s="1"/>
    </row>
    <row r="19" customFormat="false" ht="15.75" hidden="false" customHeight="false" outlineLevel="0" collapsed="false">
      <c r="A19" s="0" t="s">
        <v>276</v>
      </c>
      <c r="B19" s="0" t="s">
        <v>4</v>
      </c>
      <c r="C19" s="0" t="n">
        <v>17</v>
      </c>
      <c r="D19" s="0" t="n">
        <v>0.65</v>
      </c>
      <c r="E19" s="0" t="n">
        <v>3.12</v>
      </c>
      <c r="F19" s="0" t="n">
        <v>15.75</v>
      </c>
      <c r="H19" s="1"/>
      <c r="I19" s="1"/>
    </row>
    <row r="20" customFormat="false" ht="15.75" hidden="false" customHeight="false" outlineLevel="0" collapsed="false">
      <c r="A20" s="0" t="s">
        <v>277</v>
      </c>
      <c r="B20" s="0" t="s">
        <v>4</v>
      </c>
      <c r="C20" s="0" t="n">
        <v>28</v>
      </c>
      <c r="D20" s="0" t="n">
        <v>0.87</v>
      </c>
      <c r="E20" s="0" t="n">
        <v>3.17</v>
      </c>
      <c r="F20" s="0" t="n">
        <v>54.33</v>
      </c>
      <c r="H20" s="1"/>
      <c r="I20" s="1"/>
    </row>
    <row r="21" customFormat="false" ht="15.75" hidden="false" customHeight="false" outlineLevel="0" collapsed="false">
      <c r="A21" s="0" t="s">
        <v>278</v>
      </c>
      <c r="B21" s="0" t="s">
        <v>4</v>
      </c>
      <c r="C21" s="0" t="n">
        <v>20</v>
      </c>
      <c r="D21" s="0" t="n">
        <v>0.72</v>
      </c>
      <c r="E21" s="0" t="n">
        <v>2.95</v>
      </c>
      <c r="F21" s="0" t="n">
        <v>24.63</v>
      </c>
      <c r="H21" s="1"/>
      <c r="I21" s="1"/>
    </row>
    <row r="22" customFormat="false" ht="15.75" hidden="false" customHeight="false" outlineLevel="0" collapsed="false">
      <c r="A22" s="0" t="s">
        <v>279</v>
      </c>
      <c r="B22" s="0" t="s">
        <v>4</v>
      </c>
      <c r="C22" s="0" t="n">
        <v>18</v>
      </c>
      <c r="D22" s="0" t="n">
        <v>0.48</v>
      </c>
      <c r="E22" s="0" t="n">
        <v>1.58</v>
      </c>
      <c r="F22" s="0" t="n">
        <v>35.11</v>
      </c>
      <c r="H22" s="1"/>
      <c r="I22" s="1"/>
    </row>
    <row r="23" customFormat="false" ht="15.75" hidden="false" customHeight="false" outlineLevel="0" collapsed="false">
      <c r="A23" s="0" t="s">
        <v>280</v>
      </c>
      <c r="B23" s="0" t="s">
        <v>4</v>
      </c>
      <c r="C23" s="0" t="n">
        <v>30</v>
      </c>
      <c r="D23" s="0" t="n">
        <v>1.42</v>
      </c>
      <c r="E23" s="0" t="n">
        <v>2.36</v>
      </c>
      <c r="F23" s="0" t="n">
        <v>32.5</v>
      </c>
      <c r="H23" s="1"/>
      <c r="I23" s="1"/>
    </row>
    <row r="24" customFormat="false" ht="15.75" hidden="false" customHeight="false" outlineLevel="0" collapsed="false">
      <c r="A24" s="0" t="s">
        <v>281</v>
      </c>
      <c r="B24" s="0" t="s">
        <v>3</v>
      </c>
      <c r="C24" s="0" t="n">
        <v>6</v>
      </c>
      <c r="D24" s="0" t="n">
        <v>0.5</v>
      </c>
      <c r="E24" s="0" t="n">
        <v>2.39</v>
      </c>
      <c r="F24" s="0" t="n">
        <v>21.84</v>
      </c>
      <c r="H24" s="1"/>
      <c r="I24" s="1"/>
    </row>
    <row r="25" customFormat="false" ht="15.75" hidden="false" customHeight="false" outlineLevel="0" collapsed="false">
      <c r="A25" s="0" t="s">
        <v>282</v>
      </c>
      <c r="B25" s="0" t="s">
        <v>3</v>
      </c>
      <c r="C25" s="0" t="n">
        <v>28</v>
      </c>
      <c r="D25" s="0" t="n">
        <v>0.79</v>
      </c>
      <c r="E25" s="0" t="n">
        <v>3.08</v>
      </c>
      <c r="F25" s="0" t="n">
        <v>14.9</v>
      </c>
      <c r="H25" s="1"/>
      <c r="I25" s="1"/>
    </row>
    <row r="26" customFormat="false" ht="15.75" hidden="false" customHeight="false" outlineLevel="0" collapsed="false">
      <c r="A26" s="0" t="s">
        <v>283</v>
      </c>
      <c r="B26" s="0" t="s">
        <v>3</v>
      </c>
      <c r="C26" s="0" t="n">
        <v>8</v>
      </c>
      <c r="D26" s="0" t="n">
        <v>0.59</v>
      </c>
      <c r="E26" s="0" t="n">
        <v>2.08</v>
      </c>
      <c r="F26" s="0" t="n">
        <v>6.44</v>
      </c>
      <c r="H26" s="1"/>
      <c r="I26" s="1"/>
    </row>
    <row r="27" customFormat="false" ht="15.75" hidden="false" customHeight="false" outlineLevel="0" collapsed="false">
      <c r="A27" s="0" t="s">
        <v>284</v>
      </c>
      <c r="B27" s="0" t="s">
        <v>3</v>
      </c>
      <c r="C27" s="0" t="n">
        <v>61</v>
      </c>
      <c r="D27" s="0" t="n">
        <v>0.36</v>
      </c>
      <c r="E27" s="0" t="n">
        <v>2.13</v>
      </c>
      <c r="F27" s="0" t="n">
        <v>13.84</v>
      </c>
      <c r="H27" s="1"/>
      <c r="I27" s="1"/>
    </row>
    <row r="28" customFormat="false" ht="15.75" hidden="false" customHeight="false" outlineLevel="0" collapsed="false">
      <c r="A28" s="0" t="s">
        <v>285</v>
      </c>
      <c r="B28" s="0" t="s">
        <v>3</v>
      </c>
      <c r="C28" s="0" t="n">
        <v>6</v>
      </c>
      <c r="D28" s="0" t="n">
        <v>0.3</v>
      </c>
      <c r="E28" s="0" t="n">
        <v>2.29</v>
      </c>
      <c r="F28" s="0" t="n">
        <v>14.88</v>
      </c>
      <c r="H28" s="1"/>
      <c r="I28" s="1"/>
    </row>
    <row r="29" customFormat="false" ht="15.75" hidden="false" customHeight="false" outlineLevel="0" collapsed="false">
      <c r="A29" s="0" t="s">
        <v>286</v>
      </c>
      <c r="B29" s="0" t="s">
        <v>3</v>
      </c>
      <c r="C29" s="0" t="n">
        <v>16</v>
      </c>
      <c r="D29" s="0" t="n">
        <v>0.46</v>
      </c>
      <c r="E29" s="0" t="n">
        <v>1.74</v>
      </c>
      <c r="F29" s="0" t="n">
        <v>14</v>
      </c>
      <c r="H29" s="1"/>
      <c r="I29" s="1"/>
    </row>
    <row r="30" customFormat="false" ht="15.75" hidden="false" customHeight="false" outlineLevel="0" collapsed="false">
      <c r="A30" s="0" t="s">
        <v>287</v>
      </c>
      <c r="B30" s="0" t="s">
        <v>3</v>
      </c>
      <c r="C30" s="0" t="n">
        <v>6</v>
      </c>
      <c r="D30" s="0" t="n">
        <v>1.25</v>
      </c>
      <c r="E30" s="0" t="n">
        <v>5.02</v>
      </c>
      <c r="F30" s="0" t="n">
        <v>5.03</v>
      </c>
      <c r="H30" s="1"/>
      <c r="I30" s="1"/>
    </row>
    <row r="31" customFormat="false" ht="15.75" hidden="false" customHeight="false" outlineLevel="0" collapsed="false">
      <c r="A31" s="0" t="s">
        <v>288</v>
      </c>
      <c r="B31" s="0" t="s">
        <v>3</v>
      </c>
      <c r="C31" s="0" t="n">
        <v>17</v>
      </c>
      <c r="D31" s="0" t="n">
        <v>0.8</v>
      </c>
      <c r="E31" s="0" t="n">
        <v>4.67</v>
      </c>
      <c r="F31" s="0" t="n">
        <v>7.15</v>
      </c>
      <c r="H31" s="1"/>
      <c r="I31" s="1"/>
    </row>
    <row r="32" customFormat="false" ht="15.75" hidden="false" customHeight="false" outlineLevel="0" collapsed="false">
      <c r="A32" s="0" t="s">
        <v>289</v>
      </c>
      <c r="B32" s="0" t="s">
        <v>3</v>
      </c>
      <c r="C32" s="0" t="n">
        <v>16</v>
      </c>
      <c r="D32" s="0" t="n">
        <v>0.69</v>
      </c>
      <c r="E32" s="0" t="n">
        <v>1.72</v>
      </c>
      <c r="F32" s="0" t="n">
        <v>14.12</v>
      </c>
      <c r="H32" s="1"/>
      <c r="I3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25.66"/>
  </cols>
  <sheetData>
    <row r="1" customFormat="false" ht="15.75" hidden="false" customHeight="false" outlineLevel="0" collapsed="false">
      <c r="A1" s="9" t="s">
        <v>290</v>
      </c>
    </row>
    <row r="3" customFormat="false" ht="15.75" hidden="false" customHeight="false" outlineLevel="0" collapsed="false">
      <c r="A3" s="10" t="s">
        <v>291</v>
      </c>
      <c r="B3" s="11"/>
      <c r="C3" s="10" t="s">
        <v>292</v>
      </c>
      <c r="D3" s="10"/>
      <c r="E3" s="10"/>
      <c r="F3" s="10"/>
      <c r="G3" s="10"/>
    </row>
    <row r="4" customFormat="false" ht="39.55" hidden="false" customHeight="false" outlineLevel="0" collapsed="false">
      <c r="A4" s="10"/>
      <c r="B4" s="12" t="s">
        <v>293</v>
      </c>
      <c r="C4" s="13" t="s">
        <v>294</v>
      </c>
      <c r="D4" s="13" t="s">
        <v>295</v>
      </c>
      <c r="E4" s="13" t="s">
        <v>296</v>
      </c>
      <c r="F4" s="13" t="s">
        <v>297</v>
      </c>
      <c r="G4" s="13" t="s">
        <v>298</v>
      </c>
    </row>
    <row r="5" customFormat="false" ht="15.75" hidden="false" customHeight="false" outlineLevel="0" collapsed="false">
      <c r="A5" s="14" t="s">
        <v>299</v>
      </c>
      <c r="B5" s="15" t="s">
        <v>300</v>
      </c>
      <c r="C5" s="16" t="s">
        <v>301</v>
      </c>
      <c r="D5" s="16" t="s">
        <v>302</v>
      </c>
      <c r="E5" s="16" t="s">
        <v>303</v>
      </c>
      <c r="F5" s="16" t="s">
        <v>304</v>
      </c>
      <c r="G5" s="16" t="s">
        <v>305</v>
      </c>
    </row>
    <row r="6" customFormat="false" ht="15.75" hidden="false" customHeight="false" outlineLevel="0" collapsed="false">
      <c r="A6" s="14" t="s">
        <v>306</v>
      </c>
      <c r="B6" s="15" t="s">
        <v>307</v>
      </c>
      <c r="C6" s="16" t="s">
        <v>301</v>
      </c>
      <c r="D6" s="16" t="s">
        <v>302</v>
      </c>
      <c r="E6" s="16" t="s">
        <v>308</v>
      </c>
      <c r="F6" s="16" t="s">
        <v>304</v>
      </c>
      <c r="G6" s="16" t="s">
        <v>309</v>
      </c>
    </row>
    <row r="7" customFormat="false" ht="15.75" hidden="false" customHeight="false" outlineLevel="0" collapsed="false">
      <c r="A7" s="14" t="s">
        <v>310</v>
      </c>
      <c r="B7" s="15" t="s">
        <v>311</v>
      </c>
      <c r="C7" s="16" t="s">
        <v>301</v>
      </c>
      <c r="D7" s="16" t="s">
        <v>302</v>
      </c>
      <c r="E7" s="16" t="s">
        <v>308</v>
      </c>
      <c r="F7" s="16" t="s">
        <v>304</v>
      </c>
      <c r="G7" s="16" t="s">
        <v>309</v>
      </c>
    </row>
    <row r="8" customFormat="false" ht="15.75" hidden="false" customHeight="false" outlineLevel="0" collapsed="false">
      <c r="A8" s="14" t="s">
        <v>312</v>
      </c>
      <c r="B8" s="15" t="s">
        <v>313</v>
      </c>
      <c r="C8" s="16" t="s">
        <v>301</v>
      </c>
      <c r="D8" s="16" t="s">
        <v>314</v>
      </c>
      <c r="E8" s="16" t="s">
        <v>303</v>
      </c>
      <c r="F8" s="16" t="s">
        <v>315</v>
      </c>
      <c r="G8" s="16" t="s">
        <v>305</v>
      </c>
    </row>
    <row r="9" customFormat="false" ht="15.75" hidden="false" customHeight="false" outlineLevel="0" collapsed="false">
      <c r="A9" s="14" t="s">
        <v>316</v>
      </c>
      <c r="B9" s="15" t="s">
        <v>313</v>
      </c>
      <c r="C9" s="16" t="s">
        <v>317</v>
      </c>
      <c r="D9" s="16" t="s">
        <v>302</v>
      </c>
      <c r="E9" s="16" t="s">
        <v>303</v>
      </c>
      <c r="F9" s="16" t="s">
        <v>315</v>
      </c>
      <c r="G9" s="16" t="s">
        <v>309</v>
      </c>
    </row>
  </sheetData>
  <mergeCells count="2">
    <mergeCell ref="A3:A4"/>
    <mergeCell ref="C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0" width="20.33"/>
    <col collapsed="false" customWidth="true" hidden="false" outlineLevel="0" max="3" min="3" style="0" width="18.17"/>
    <col collapsed="false" customWidth="true" hidden="false" outlineLevel="0" max="4" min="4" style="0" width="17.33"/>
    <col collapsed="false" customWidth="true" hidden="false" outlineLevel="0" max="5" min="5" style="0" width="17"/>
    <col collapsed="false" customWidth="true" hidden="false" outlineLevel="0" max="6" min="6" style="0" width="15.33"/>
  </cols>
  <sheetData>
    <row r="1" customFormat="false" ht="17.9" hidden="false" customHeight="false" outlineLevel="0" collapsed="false">
      <c r="A1" s="1" t="s">
        <v>318</v>
      </c>
    </row>
    <row r="3" customFormat="false" ht="15.75" hidden="false" customHeight="false" outlineLevel="0" collapsed="false">
      <c r="A3" s="17" t="s">
        <v>255</v>
      </c>
      <c r="B3" s="17" t="s">
        <v>299</v>
      </c>
      <c r="C3" s="17" t="s">
        <v>306</v>
      </c>
      <c r="D3" s="17" t="s">
        <v>310</v>
      </c>
      <c r="E3" s="17" t="s">
        <v>312</v>
      </c>
      <c r="F3" s="17" t="s">
        <v>319</v>
      </c>
    </row>
    <row r="4" customFormat="false" ht="15.75" hidden="false" customHeight="false" outlineLevel="0" collapsed="false">
      <c r="A4" s="17" t="s">
        <v>281</v>
      </c>
      <c r="B4" s="18" t="n">
        <v>1</v>
      </c>
      <c r="C4" s="18" t="n">
        <v>0</v>
      </c>
      <c r="D4" s="18" t="n">
        <v>2</v>
      </c>
      <c r="E4" s="18" t="n">
        <v>7</v>
      </c>
      <c r="F4" s="18" t="n">
        <v>0</v>
      </c>
    </row>
    <row r="5" customFormat="false" ht="15.75" hidden="false" customHeight="false" outlineLevel="0" collapsed="false">
      <c r="A5" s="17" t="s">
        <v>282</v>
      </c>
      <c r="B5" s="18" t="n">
        <v>7</v>
      </c>
      <c r="C5" s="18" t="n">
        <v>4</v>
      </c>
      <c r="D5" s="18" t="n">
        <v>3</v>
      </c>
      <c r="E5" s="18" t="n">
        <v>5</v>
      </c>
      <c r="F5" s="18" t="n">
        <v>9</v>
      </c>
    </row>
    <row r="6" customFormat="false" ht="15.75" hidden="false" customHeight="false" outlineLevel="0" collapsed="false">
      <c r="A6" s="17" t="s">
        <v>283</v>
      </c>
      <c r="B6" s="18" t="n">
        <v>16</v>
      </c>
      <c r="C6" s="18" t="n">
        <v>0</v>
      </c>
      <c r="D6" s="18" t="n">
        <v>11</v>
      </c>
      <c r="E6" s="18" t="n">
        <v>2</v>
      </c>
      <c r="F6" s="18" t="n">
        <v>43</v>
      </c>
    </row>
    <row r="7" customFormat="false" ht="15.75" hidden="false" customHeight="false" outlineLevel="0" collapsed="false">
      <c r="A7" s="17" t="s">
        <v>284</v>
      </c>
      <c r="B7" s="18" t="n">
        <v>21</v>
      </c>
      <c r="C7" s="18" t="n">
        <v>23</v>
      </c>
      <c r="D7" s="18" t="n">
        <v>6</v>
      </c>
      <c r="E7" s="18" t="n">
        <v>8</v>
      </c>
      <c r="F7" s="18" t="n">
        <v>21</v>
      </c>
    </row>
    <row r="8" customFormat="false" ht="15.75" hidden="false" customHeight="false" outlineLevel="0" collapsed="false">
      <c r="A8" s="17" t="s">
        <v>285</v>
      </c>
      <c r="B8" s="18" t="n">
        <v>8</v>
      </c>
      <c r="C8" s="18" t="n">
        <v>0</v>
      </c>
      <c r="D8" s="18" t="n">
        <v>0</v>
      </c>
      <c r="E8" s="18" t="n">
        <v>0</v>
      </c>
      <c r="F8" s="18" t="n">
        <v>2</v>
      </c>
    </row>
    <row r="9" customFormat="false" ht="15.75" hidden="false" customHeight="false" outlineLevel="0" collapsed="false">
      <c r="A9" s="17" t="s">
        <v>286</v>
      </c>
      <c r="B9" s="18" t="n">
        <v>0</v>
      </c>
      <c r="C9" s="18" t="n">
        <v>2</v>
      </c>
      <c r="D9" s="18" t="n">
        <v>7</v>
      </c>
      <c r="E9" s="18" t="n">
        <v>2</v>
      </c>
      <c r="F9" s="18" t="n">
        <v>27</v>
      </c>
    </row>
    <row r="10" customFormat="false" ht="15.75" hidden="false" customHeight="false" outlineLevel="0" collapsed="false">
      <c r="A10" s="17" t="s">
        <v>287</v>
      </c>
      <c r="B10" s="18" t="n">
        <v>0</v>
      </c>
      <c r="C10" s="18" t="n">
        <v>0</v>
      </c>
      <c r="D10" s="18" t="n">
        <v>3</v>
      </c>
      <c r="E10" s="18" t="n">
        <v>0</v>
      </c>
      <c r="F10" s="18" t="n">
        <v>1</v>
      </c>
    </row>
    <row r="11" customFormat="false" ht="15.75" hidden="false" customHeight="false" outlineLevel="0" collapsed="false">
      <c r="A11" s="17" t="s">
        <v>288</v>
      </c>
      <c r="B11" s="18" t="n">
        <v>0</v>
      </c>
      <c r="C11" s="18" t="n">
        <v>6</v>
      </c>
      <c r="D11" s="18" t="n">
        <v>14</v>
      </c>
      <c r="E11" s="18" t="n">
        <v>0</v>
      </c>
      <c r="F11" s="18" t="n">
        <v>2</v>
      </c>
    </row>
    <row r="12" customFormat="false" ht="15.75" hidden="false" customHeight="false" outlineLevel="0" collapsed="false">
      <c r="A12" s="17" t="s">
        <v>289</v>
      </c>
      <c r="B12" s="18" t="n">
        <v>0</v>
      </c>
      <c r="C12" s="18" t="n">
        <v>9</v>
      </c>
      <c r="D12" s="18" t="n">
        <v>4</v>
      </c>
      <c r="E12" s="18" t="n">
        <v>6</v>
      </c>
      <c r="F12" s="18" t="n">
        <v>2</v>
      </c>
    </row>
    <row r="13" customFormat="false" ht="15.75" hidden="false" customHeight="false" outlineLevel="0" collapsed="false">
      <c r="A13" s="17" t="s">
        <v>261</v>
      </c>
      <c r="B13" s="18" t="n">
        <v>20</v>
      </c>
      <c r="C13" s="18" t="n">
        <v>41</v>
      </c>
      <c r="D13" s="18" t="n">
        <v>11</v>
      </c>
      <c r="E13" s="18" t="n">
        <v>1</v>
      </c>
      <c r="F13" s="18" t="n">
        <v>0</v>
      </c>
    </row>
    <row r="14" customFormat="false" ht="15.75" hidden="false" customHeight="false" outlineLevel="0" collapsed="false">
      <c r="A14" s="17" t="s">
        <v>262</v>
      </c>
      <c r="B14" s="18" t="n">
        <v>6</v>
      </c>
      <c r="C14" s="18" t="n">
        <v>2</v>
      </c>
      <c r="D14" s="18" t="n">
        <v>5</v>
      </c>
      <c r="E14" s="18" t="n">
        <v>2</v>
      </c>
      <c r="F14" s="18" t="n">
        <v>2</v>
      </c>
    </row>
    <row r="15" customFormat="false" ht="15.75" hidden="false" customHeight="false" outlineLevel="0" collapsed="false">
      <c r="A15" s="17" t="s">
        <v>263</v>
      </c>
      <c r="B15" s="18" t="n">
        <v>5</v>
      </c>
      <c r="C15" s="18" t="n">
        <v>0</v>
      </c>
      <c r="D15" s="18" t="n">
        <v>2</v>
      </c>
      <c r="E15" s="18" t="n">
        <v>1</v>
      </c>
      <c r="F15" s="18" t="n">
        <v>6</v>
      </c>
    </row>
    <row r="16" customFormat="false" ht="15.75" hidden="false" customHeight="false" outlineLevel="0" collapsed="false">
      <c r="A16" s="17" t="s">
        <v>264</v>
      </c>
      <c r="B16" s="18" t="n">
        <v>15</v>
      </c>
      <c r="C16" s="18" t="n">
        <v>6</v>
      </c>
      <c r="D16" s="18" t="n">
        <v>6</v>
      </c>
      <c r="E16" s="18" t="n">
        <v>1</v>
      </c>
      <c r="F16" s="18" t="n">
        <v>0</v>
      </c>
    </row>
    <row r="17" customFormat="false" ht="15.75" hidden="false" customHeight="false" outlineLevel="0" collapsed="false">
      <c r="A17" s="17" t="s">
        <v>265</v>
      </c>
      <c r="B17" s="18" t="n">
        <v>0</v>
      </c>
      <c r="C17" s="18" t="n">
        <v>1</v>
      </c>
      <c r="D17" s="18" t="n">
        <v>2</v>
      </c>
      <c r="E17" s="18" t="n">
        <v>3</v>
      </c>
      <c r="F17" s="18" t="n">
        <v>3</v>
      </c>
    </row>
    <row r="18" customFormat="false" ht="15.75" hidden="false" customHeight="false" outlineLevel="0" collapsed="false">
      <c r="A18" s="17" t="s">
        <v>266</v>
      </c>
      <c r="B18" s="18" t="n">
        <v>1</v>
      </c>
      <c r="C18" s="18" t="n">
        <v>4</v>
      </c>
      <c r="D18" s="18" t="n">
        <v>11</v>
      </c>
      <c r="E18" s="18" t="n">
        <v>18</v>
      </c>
      <c r="F18" s="18" t="n">
        <v>1</v>
      </c>
    </row>
    <row r="19" customFormat="false" ht="15.75" hidden="false" customHeight="false" outlineLevel="0" collapsed="false">
      <c r="A19" s="17" t="s">
        <v>267</v>
      </c>
      <c r="B19" s="18" t="n">
        <v>2</v>
      </c>
      <c r="C19" s="18" t="n">
        <v>4</v>
      </c>
      <c r="D19" s="18" t="n">
        <v>20</v>
      </c>
      <c r="E19" s="18" t="n">
        <v>0</v>
      </c>
      <c r="F19" s="18" t="n">
        <v>1</v>
      </c>
    </row>
    <row r="20" customFormat="false" ht="15.75" hidden="false" customHeight="false" outlineLevel="0" collapsed="false">
      <c r="A20" s="17" t="s">
        <v>268</v>
      </c>
      <c r="B20" s="18" t="n">
        <v>0</v>
      </c>
      <c r="C20" s="18" t="n">
        <v>7</v>
      </c>
      <c r="D20" s="18" t="n">
        <v>8</v>
      </c>
      <c r="E20" s="18" t="n">
        <v>1</v>
      </c>
      <c r="F20" s="18" t="n">
        <v>0</v>
      </c>
    </row>
    <row r="21" customFormat="false" ht="15.75" hidden="false" customHeight="false" outlineLevel="0" collapsed="false">
      <c r="A21" s="17" t="s">
        <v>269</v>
      </c>
      <c r="B21" s="18" t="n">
        <v>3</v>
      </c>
      <c r="C21" s="18" t="n">
        <v>0</v>
      </c>
      <c r="D21" s="18" t="n">
        <v>13</v>
      </c>
      <c r="E21" s="18" t="n">
        <v>1</v>
      </c>
      <c r="F21" s="18" t="n">
        <v>0</v>
      </c>
    </row>
    <row r="22" customFormat="false" ht="15.75" hidden="false" customHeight="false" outlineLevel="0" collapsed="false">
      <c r="A22" s="17" t="s">
        <v>270</v>
      </c>
      <c r="B22" s="18" t="n">
        <v>2</v>
      </c>
      <c r="C22" s="18" t="n">
        <v>25</v>
      </c>
      <c r="D22" s="18" t="n">
        <v>20</v>
      </c>
      <c r="E22" s="18" t="n">
        <v>55</v>
      </c>
      <c r="F22" s="18" t="n">
        <v>0</v>
      </c>
    </row>
    <row r="23" customFormat="false" ht="15.75" hidden="false" customHeight="false" outlineLevel="0" collapsed="false">
      <c r="A23" s="17" t="s">
        <v>271</v>
      </c>
      <c r="B23" s="18" t="n">
        <v>15</v>
      </c>
      <c r="C23" s="18" t="n">
        <v>9</v>
      </c>
      <c r="D23" s="18" t="n">
        <v>8</v>
      </c>
      <c r="E23" s="18" t="n">
        <v>5</v>
      </c>
      <c r="F23" s="18" t="n">
        <v>135</v>
      </c>
    </row>
    <row r="24" customFormat="false" ht="15.75" hidden="false" customHeight="false" outlineLevel="0" collapsed="false">
      <c r="A24" s="17" t="s">
        <v>272</v>
      </c>
      <c r="B24" s="18" t="n">
        <v>17</v>
      </c>
      <c r="C24" s="18" t="n">
        <v>4</v>
      </c>
      <c r="D24" s="18" t="n">
        <v>7</v>
      </c>
      <c r="E24" s="18" t="n">
        <v>1</v>
      </c>
      <c r="F24" s="18" t="n">
        <v>10</v>
      </c>
    </row>
    <row r="25" customFormat="false" ht="15.75" hidden="false" customHeight="false" outlineLevel="0" collapsed="false">
      <c r="A25" s="17" t="s">
        <v>273</v>
      </c>
      <c r="B25" s="18" t="n">
        <v>9</v>
      </c>
      <c r="C25" s="18" t="n">
        <v>10</v>
      </c>
      <c r="D25" s="18" t="n">
        <v>27</v>
      </c>
      <c r="E25" s="18" t="n">
        <v>1</v>
      </c>
      <c r="F25" s="18" t="n">
        <v>0</v>
      </c>
    </row>
    <row r="26" customFormat="false" ht="15.75" hidden="false" customHeight="false" outlineLevel="0" collapsed="false">
      <c r="A26" s="17" t="s">
        <v>274</v>
      </c>
      <c r="B26" s="18" t="n">
        <v>50</v>
      </c>
      <c r="C26" s="18" t="n">
        <v>20</v>
      </c>
      <c r="D26" s="18" t="n">
        <v>19</v>
      </c>
      <c r="E26" s="18" t="n">
        <v>2</v>
      </c>
      <c r="F26" s="18" t="n">
        <v>33</v>
      </c>
    </row>
    <row r="27" customFormat="false" ht="15.75" hidden="false" customHeight="false" outlineLevel="0" collapsed="false">
      <c r="A27" s="17" t="s">
        <v>275</v>
      </c>
      <c r="B27" s="18" t="n">
        <v>1</v>
      </c>
      <c r="C27" s="18" t="n">
        <v>2</v>
      </c>
      <c r="D27" s="18" t="n">
        <v>3</v>
      </c>
      <c r="E27" s="18" t="n">
        <v>1</v>
      </c>
      <c r="F27" s="18" t="n">
        <v>5</v>
      </c>
    </row>
    <row r="28" customFormat="false" ht="15.75" hidden="false" customHeight="false" outlineLevel="0" collapsed="false">
      <c r="A28" s="17" t="s">
        <v>276</v>
      </c>
      <c r="B28" s="18" t="n">
        <v>0</v>
      </c>
      <c r="C28" s="18" t="n">
        <v>1</v>
      </c>
      <c r="D28" s="18" t="n">
        <v>1</v>
      </c>
      <c r="E28" s="18" t="n">
        <v>0</v>
      </c>
      <c r="F28" s="18" t="n">
        <v>0</v>
      </c>
    </row>
    <row r="29" customFormat="false" ht="15.75" hidden="false" customHeight="false" outlineLevel="0" collapsed="false">
      <c r="A29" s="17" t="s">
        <v>277</v>
      </c>
      <c r="B29" s="18" t="n">
        <v>15</v>
      </c>
      <c r="C29" s="18" t="n">
        <v>3</v>
      </c>
      <c r="D29" s="18" t="n">
        <v>18</v>
      </c>
      <c r="E29" s="18" t="n">
        <v>4</v>
      </c>
      <c r="F29" s="18" t="n">
        <v>30</v>
      </c>
    </row>
    <row r="30" customFormat="false" ht="15.75" hidden="false" customHeight="false" outlineLevel="0" collapsed="false">
      <c r="A30" s="17" t="s">
        <v>278</v>
      </c>
      <c r="B30" s="18" t="n">
        <v>1</v>
      </c>
      <c r="C30" s="18" t="n">
        <v>1</v>
      </c>
      <c r="D30" s="18" t="n">
        <v>15</v>
      </c>
      <c r="E30" s="18" t="n">
        <v>4</v>
      </c>
      <c r="F30" s="18" t="n">
        <v>0</v>
      </c>
    </row>
    <row r="31" customFormat="false" ht="15.75" hidden="false" customHeight="false" outlineLevel="0" collapsed="false">
      <c r="A31" s="17" t="s">
        <v>279</v>
      </c>
      <c r="B31" s="18" t="n">
        <v>0</v>
      </c>
      <c r="C31" s="18" t="n">
        <v>0</v>
      </c>
      <c r="D31" s="18" t="n">
        <v>0</v>
      </c>
      <c r="E31" s="18" t="n">
        <v>6</v>
      </c>
      <c r="F31" s="18" t="n">
        <v>9</v>
      </c>
    </row>
    <row r="32" customFormat="false" ht="15.75" hidden="false" customHeight="false" outlineLevel="0" collapsed="false">
      <c r="A32" s="17" t="s">
        <v>280</v>
      </c>
      <c r="B32" s="18" t="n">
        <v>0</v>
      </c>
      <c r="C32" s="18" t="n">
        <v>13</v>
      </c>
      <c r="D32" s="18" t="n">
        <v>17</v>
      </c>
      <c r="E32" s="18" t="n">
        <v>36</v>
      </c>
      <c r="F32" s="18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9" width="10.83"/>
    <col collapsed="false" customWidth="true" hidden="false" outlineLevel="0" max="2" min="2" style="0" width="12.51"/>
    <col collapsed="false" customWidth="true" hidden="false" outlineLevel="0" max="3" min="3" style="0" width="15.33"/>
    <col collapsed="false" customWidth="true" hidden="false" outlineLevel="0" max="4" min="4" style="0" width="8.66"/>
    <col collapsed="false" customWidth="true" hidden="false" outlineLevel="0" max="6" min="6" style="0" width="12.33"/>
  </cols>
  <sheetData>
    <row r="1" customFormat="false" ht="17.9" hidden="false" customHeight="false" outlineLevel="0" collapsed="false">
      <c r="A1" s="1" t="s">
        <v>320</v>
      </c>
    </row>
    <row r="3" customFormat="false" ht="15.75" hidden="false" customHeight="false" outlineLevel="0" collapsed="false">
      <c r="A3" s="20" t="s">
        <v>321</v>
      </c>
      <c r="B3" s="20" t="s">
        <v>322</v>
      </c>
      <c r="C3" s="20" t="s">
        <v>323</v>
      </c>
      <c r="D3" s="20" t="s">
        <v>324</v>
      </c>
      <c r="G3" s="21"/>
    </row>
    <row r="4" customFormat="false" ht="15.75" hidden="false" customHeight="false" outlineLevel="0" collapsed="false">
      <c r="A4" s="22" t="s">
        <v>325</v>
      </c>
      <c r="B4" s="22"/>
      <c r="C4" s="22"/>
      <c r="D4" s="22"/>
      <c r="G4" s="21"/>
    </row>
    <row r="5" customFormat="false" ht="15.75" hidden="false" customHeight="false" outlineLevel="0" collapsed="false">
      <c r="A5" s="23" t="s">
        <v>5</v>
      </c>
      <c r="B5" s="24" t="n">
        <v>0.74</v>
      </c>
      <c r="C5" s="23" t="n">
        <v>12.519</v>
      </c>
      <c r="D5" s="23" t="s">
        <v>326</v>
      </c>
      <c r="G5" s="21"/>
    </row>
    <row r="6" customFormat="false" ht="15.75" hidden="false" customHeight="false" outlineLevel="0" collapsed="false">
      <c r="A6" s="20" t="s">
        <v>4</v>
      </c>
      <c r="B6" s="25" t="n">
        <v>0.55</v>
      </c>
      <c r="C6" s="20" t="n">
        <v>1.1524</v>
      </c>
      <c r="D6" s="20" t="n">
        <v>0.28</v>
      </c>
      <c r="G6" s="21"/>
    </row>
    <row r="7" customFormat="false" ht="15.75" hidden="false" customHeight="false" outlineLevel="0" collapsed="false">
      <c r="A7" s="23" t="s">
        <v>3</v>
      </c>
      <c r="B7" s="24" t="n">
        <v>0.64</v>
      </c>
      <c r="C7" s="23" t="n">
        <v>4.2453</v>
      </c>
      <c r="D7" s="23" t="n">
        <v>0.04</v>
      </c>
    </row>
    <row r="8" customFormat="false" ht="15.75" hidden="false" customHeight="false" outlineLevel="0" collapsed="false">
      <c r="A8" s="22" t="s">
        <v>327</v>
      </c>
      <c r="B8" s="22"/>
      <c r="C8" s="22"/>
      <c r="D8" s="22"/>
    </row>
    <row r="9" customFormat="false" ht="15.75" hidden="false" customHeight="false" outlineLevel="0" collapsed="false">
      <c r="A9" s="20" t="s">
        <v>5</v>
      </c>
      <c r="B9" s="26" t="n">
        <v>0.42</v>
      </c>
      <c r="C9" s="20" t="n">
        <v>0.195</v>
      </c>
      <c r="D9" s="20" t="n">
        <v>0.65</v>
      </c>
    </row>
    <row r="10" customFormat="false" ht="15.75" hidden="false" customHeight="false" outlineLevel="0" collapsed="false">
      <c r="A10" s="23" t="s">
        <v>4</v>
      </c>
      <c r="B10" s="27" t="n">
        <v>0.26</v>
      </c>
      <c r="C10" s="23" t="n">
        <v>13.067</v>
      </c>
      <c r="D10" s="23" t="s">
        <v>328</v>
      </c>
    </row>
    <row r="11" customFormat="false" ht="15.75" hidden="false" customHeight="false" outlineLevel="0" collapsed="false">
      <c r="A11" s="20" t="s">
        <v>3</v>
      </c>
      <c r="B11" s="26" t="n">
        <v>0.43</v>
      </c>
      <c r="C11" s="20" t="n">
        <v>0.533</v>
      </c>
      <c r="D11" s="20" t="n">
        <v>0.46</v>
      </c>
    </row>
    <row r="12" customFormat="false" ht="15.75" hidden="false" customHeight="false" outlineLevel="0" collapsed="false">
      <c r="A12" s="22" t="s">
        <v>329</v>
      </c>
      <c r="B12" s="22"/>
      <c r="C12" s="22"/>
      <c r="D12" s="22"/>
    </row>
    <row r="13" customFormat="false" ht="15.75" hidden="false" customHeight="false" outlineLevel="0" collapsed="false">
      <c r="A13" s="23" t="s">
        <v>5</v>
      </c>
      <c r="B13" s="23" t="s">
        <v>330</v>
      </c>
      <c r="C13" s="23" t="n">
        <v>16.044</v>
      </c>
      <c r="D13" s="23" t="n">
        <v>0.001</v>
      </c>
    </row>
    <row r="14" customFormat="false" ht="15.75" hidden="false" customHeight="false" outlineLevel="0" collapsed="false">
      <c r="A14" s="20" t="s">
        <v>4</v>
      </c>
      <c r="B14" s="20" t="s">
        <v>331</v>
      </c>
      <c r="C14" s="20" t="n">
        <v>2.7705</v>
      </c>
      <c r="D14" s="20" t="n">
        <v>0.096</v>
      </c>
    </row>
    <row r="15" customFormat="false" ht="15.75" hidden="false" customHeight="false" outlineLevel="0" collapsed="false">
      <c r="A15" s="20" t="s">
        <v>3</v>
      </c>
      <c r="B15" s="20" t="s">
        <v>332</v>
      </c>
      <c r="C15" s="20" t="n">
        <v>0.2093</v>
      </c>
      <c r="D15" s="20" t="n">
        <v>0.64</v>
      </c>
    </row>
    <row r="16" customFormat="false" ht="15.75" hidden="false" customHeight="false" outlineLevel="0" collapsed="false">
      <c r="A16" s="22" t="s">
        <v>333</v>
      </c>
      <c r="B16" s="22"/>
      <c r="C16" s="22"/>
      <c r="D16" s="22"/>
    </row>
    <row r="17" customFormat="false" ht="15.75" hidden="false" customHeight="false" outlineLevel="0" collapsed="false">
      <c r="A17" s="23" t="s">
        <v>5</v>
      </c>
      <c r="B17" s="24" t="n">
        <v>0.24</v>
      </c>
      <c r="C17" s="23" t="s">
        <v>334</v>
      </c>
      <c r="D17" s="23" t="s">
        <v>328</v>
      </c>
    </row>
    <row r="18" customFormat="false" ht="15.75" hidden="false" customHeight="false" outlineLevel="0" collapsed="false">
      <c r="A18" s="23" t="s">
        <v>4</v>
      </c>
      <c r="B18" s="24" t="n">
        <v>0.27</v>
      </c>
      <c r="C18" s="23" t="n">
        <v>24.426</v>
      </c>
      <c r="D18" s="23" t="s">
        <v>328</v>
      </c>
    </row>
    <row r="19" customFormat="false" ht="15.75" hidden="false" customHeight="false" outlineLevel="0" collapsed="false">
      <c r="A19" s="23" t="s">
        <v>3</v>
      </c>
      <c r="B19" s="24" t="n">
        <v>0.02</v>
      </c>
      <c r="C19" s="23" t="n">
        <v>46.08</v>
      </c>
      <c r="D19" s="23" t="s">
        <v>328</v>
      </c>
    </row>
    <row r="20" customFormat="false" ht="15.75" hidden="false" customHeight="false" outlineLevel="0" collapsed="false">
      <c r="A20" s="22" t="s">
        <v>335</v>
      </c>
      <c r="B20" s="22"/>
      <c r="C20" s="22"/>
      <c r="D20" s="22"/>
    </row>
    <row r="21" customFormat="false" ht="15.75" hidden="false" customHeight="false" outlineLevel="0" collapsed="false">
      <c r="A21" s="20" t="s">
        <v>5</v>
      </c>
      <c r="B21" s="20" t="s">
        <v>336</v>
      </c>
      <c r="C21" s="20" t="n">
        <v>0.076</v>
      </c>
      <c r="D21" s="20" t="n">
        <v>0.78</v>
      </c>
    </row>
    <row r="22" customFormat="false" ht="15.75" hidden="false" customHeight="false" outlineLevel="0" collapsed="false">
      <c r="A22" s="23" t="s">
        <v>4</v>
      </c>
      <c r="B22" s="23" t="s">
        <v>337</v>
      </c>
      <c r="C22" s="23" t="n">
        <v>38.337</v>
      </c>
      <c r="D22" s="23" t="s">
        <v>328</v>
      </c>
    </row>
    <row r="23" customFormat="false" ht="15.75" hidden="false" customHeight="false" outlineLevel="0" collapsed="false">
      <c r="A23" s="20" t="s">
        <v>3</v>
      </c>
      <c r="B23" s="20" t="s">
        <v>338</v>
      </c>
      <c r="C23" s="20" t="n">
        <v>0.222</v>
      </c>
      <c r="D23" s="20" t="n">
        <v>0.63</v>
      </c>
    </row>
  </sheetData>
  <mergeCells count="5">
    <mergeCell ref="A4:D4"/>
    <mergeCell ref="A8:D8"/>
    <mergeCell ref="A12:D12"/>
    <mergeCell ref="A16:D16"/>
    <mergeCell ref="A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5.33"/>
    <col collapsed="false" customWidth="true" hidden="false" outlineLevel="0" max="3" min="3" style="0" width="4.66"/>
    <col collapsed="false" customWidth="true" hidden="false" outlineLevel="0" max="4" min="4" style="0" width="5.83"/>
    <col collapsed="false" customWidth="true" hidden="false" outlineLevel="0" max="5" min="5" style="0" width="7.51"/>
    <col collapsed="false" customWidth="true" hidden="false" outlineLevel="0" max="6" min="6" style="0" width="10.17"/>
    <col collapsed="false" customWidth="true" hidden="false" outlineLevel="0" max="7" min="7" style="0" width="4.66"/>
    <col collapsed="false" customWidth="true" hidden="false" outlineLevel="0" max="8" min="8" style="0" width="6.33"/>
    <col collapsed="false" customWidth="true" hidden="false" outlineLevel="0" max="9" min="9" style="0" width="7.51"/>
  </cols>
  <sheetData>
    <row r="1" customFormat="false" ht="17.9" hidden="false" customHeight="false" outlineLevel="0" collapsed="false">
      <c r="A1" s="1" t="s">
        <v>339</v>
      </c>
    </row>
    <row r="3" customFormat="false" ht="15.75" hidden="false" customHeight="false" outlineLevel="0" collapsed="false">
      <c r="A3" s="28" t="s">
        <v>340</v>
      </c>
      <c r="B3" s="29" t="s">
        <v>341</v>
      </c>
      <c r="C3" s="29" t="s">
        <v>342</v>
      </c>
      <c r="D3" s="29" t="s">
        <v>343</v>
      </c>
      <c r="E3" s="29" t="s">
        <v>324</v>
      </c>
      <c r="F3" s="29" t="s">
        <v>344</v>
      </c>
      <c r="G3" s="29" t="s">
        <v>342</v>
      </c>
      <c r="H3" s="29" t="s">
        <v>343</v>
      </c>
      <c r="I3" s="29" t="s">
        <v>324</v>
      </c>
    </row>
    <row r="4" customFormat="false" ht="15.75" hidden="false" customHeight="false" outlineLevel="0" collapsed="false">
      <c r="A4" s="30" t="s">
        <v>315</v>
      </c>
      <c r="B4" s="31" t="n">
        <v>2.13729508196721</v>
      </c>
      <c r="C4" s="31" t="n">
        <v>1.46225700310786</v>
      </c>
      <c r="D4" s="18" t="n">
        <v>0.9</v>
      </c>
      <c r="E4" s="31" t="n">
        <v>0.18</v>
      </c>
      <c r="F4" s="31" t="n">
        <v>1.72</v>
      </c>
      <c r="G4" s="31" t="n">
        <v>0.404156779068756</v>
      </c>
      <c r="H4" s="31" t="n">
        <v>28.77</v>
      </c>
      <c r="I4" s="32" t="s">
        <v>328</v>
      </c>
    </row>
    <row r="5" customFormat="false" ht="15.75" hidden="false" customHeight="false" outlineLevel="0" collapsed="false">
      <c r="A5" s="33" t="s">
        <v>304</v>
      </c>
      <c r="B5" s="34" t="n">
        <v>2.06127080181543</v>
      </c>
      <c r="C5" s="34" t="n">
        <v>1.37194207213079</v>
      </c>
      <c r="D5" s="34"/>
      <c r="E5" s="34"/>
      <c r="F5" s="34" t="n">
        <v>3.23060149253731</v>
      </c>
      <c r="G5" s="34" t="n">
        <v>1.27306540740742</v>
      </c>
      <c r="H5" s="35"/>
      <c r="I5" s="36"/>
    </row>
    <row r="6" customFormat="false" ht="15.75" hidden="false" customHeight="false" outlineLevel="0" collapsed="false">
      <c r="A6" s="37" t="s">
        <v>308</v>
      </c>
      <c r="B6" s="38" t="n">
        <v>2.46416938110749</v>
      </c>
      <c r="C6" s="38" t="n">
        <v>1.35814366063052</v>
      </c>
      <c r="D6" s="18" t="n">
        <v>9.94</v>
      </c>
      <c r="E6" s="38" t="s">
        <v>328</v>
      </c>
      <c r="F6" s="31" t="n">
        <v>3.19984578696343</v>
      </c>
      <c r="G6" s="31" t="n">
        <v>1.42315084292634</v>
      </c>
      <c r="H6" s="31" t="n">
        <v>22.98</v>
      </c>
      <c r="I6" s="32" t="s">
        <v>328</v>
      </c>
    </row>
    <row r="7" customFormat="false" ht="15.75" hidden="false" customHeight="false" outlineLevel="0" collapsed="false">
      <c r="A7" s="33" t="s">
        <v>303</v>
      </c>
      <c r="B7" s="34" t="n">
        <v>1.66822429906542</v>
      </c>
      <c r="C7" s="34" t="n">
        <v>1.35010043535686</v>
      </c>
      <c r="D7" s="34"/>
      <c r="E7" s="34"/>
      <c r="F7" s="34" t="n">
        <v>1.87339405204461</v>
      </c>
      <c r="G7" s="34" t="n">
        <v>0.244462693078519</v>
      </c>
      <c r="H7" s="35"/>
      <c r="I7" s="36"/>
    </row>
    <row r="8" customFormat="false" ht="15.75" hidden="false" customHeight="false" outlineLevel="0" collapsed="false">
      <c r="A8" s="37" t="s">
        <v>314</v>
      </c>
      <c r="B8" s="38" t="n">
        <v>2.18181818181818</v>
      </c>
      <c r="C8" s="38" t="n">
        <v>1.91996165889286</v>
      </c>
      <c r="D8" s="18" t="n">
        <v>0.66</v>
      </c>
      <c r="E8" s="38" t="n">
        <v>0.25</v>
      </c>
      <c r="F8" s="38" t="n">
        <v>1.20776162790698</v>
      </c>
      <c r="G8" s="31" t="n">
        <v>0.110672987209678</v>
      </c>
      <c r="H8" s="31" t="n">
        <v>-41.6</v>
      </c>
      <c r="I8" s="32" t="s">
        <v>328</v>
      </c>
    </row>
    <row r="9" customFormat="false" ht="15.75" hidden="false" customHeight="false" outlineLevel="0" collapsed="false">
      <c r="A9" s="33" t="s">
        <v>302</v>
      </c>
      <c r="B9" s="34" t="n">
        <v>2.07876016260163</v>
      </c>
      <c r="C9" s="34" t="n">
        <v>1.30697560666505</v>
      </c>
      <c r="D9" s="34"/>
      <c r="E9" s="34"/>
      <c r="F9" s="34" t="n">
        <v>2.82698894472362</v>
      </c>
      <c r="G9" s="34" t="n">
        <v>1.19843461735335</v>
      </c>
      <c r="H9" s="35"/>
      <c r="I9" s="36"/>
    </row>
    <row r="10" customFormat="false" ht="15.75" hidden="false" customHeight="false" outlineLevel="0" collapsed="false">
      <c r="A10" s="37" t="s">
        <v>317</v>
      </c>
      <c r="B10" s="38" t="n">
        <v>2.11455108359133</v>
      </c>
      <c r="C10" s="38" t="n">
        <v>1.49695964528674</v>
      </c>
      <c r="D10" s="18" t="n">
        <v>-0.35</v>
      </c>
      <c r="E10" s="38" t="n">
        <v>0.36</v>
      </c>
      <c r="F10" s="38" t="n">
        <v>1.99492615384615</v>
      </c>
      <c r="G10" s="31" t="n">
        <v>0.168791275040876</v>
      </c>
      <c r="H10" s="31" t="n">
        <v>16.74</v>
      </c>
      <c r="I10" s="32" t="s">
        <v>328</v>
      </c>
    </row>
    <row r="11" customFormat="false" ht="15.75" hidden="false" customHeight="false" outlineLevel="0" collapsed="false">
      <c r="A11" s="33" t="s">
        <v>301</v>
      </c>
      <c r="B11" s="34" t="n">
        <v>2.08535108958838</v>
      </c>
      <c r="C11" s="34" t="n">
        <v>1.16398012019469</v>
      </c>
      <c r="D11" s="34"/>
      <c r="E11" s="34"/>
      <c r="F11" s="34" t="n">
        <v>2.81738479809977</v>
      </c>
      <c r="G11" s="34" t="n">
        <v>1.39915615443777</v>
      </c>
      <c r="H11" s="35"/>
      <c r="I11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8359375" defaultRowHeight="15.75" zeroHeight="false" outlineLevelRow="0" outlineLevelCol="0"/>
  <cols>
    <col collapsed="false" customWidth="true" hidden="false" outlineLevel="0" max="1" min="1" style="1" width="25.17"/>
    <col collapsed="false" customWidth="true" hidden="false" outlineLevel="0" max="2" min="2" style="1" width="4.84"/>
    <col collapsed="false" customWidth="true" hidden="false" outlineLevel="0" max="3" min="3" style="1" width="9.66"/>
    <col collapsed="false" customWidth="true" hidden="false" outlineLevel="0" max="5" min="4" style="1" width="7.33"/>
    <col collapsed="false" customWidth="true" hidden="false" outlineLevel="0" max="6" min="6" style="1" width="4.84"/>
    <col collapsed="false" customWidth="true" hidden="false" outlineLevel="0" max="7" min="7" style="1" width="7.33"/>
    <col collapsed="false" customWidth="true" hidden="false" outlineLevel="0" max="8" min="8" style="1" width="4.84"/>
    <col collapsed="false" customWidth="true" hidden="false" outlineLevel="0" max="9" min="9" style="1" width="12.51"/>
    <col collapsed="false" customWidth="false" hidden="false" outlineLevel="0" max="16384" min="10" style="1" width="10.83"/>
  </cols>
  <sheetData>
    <row r="1" customFormat="false" ht="17.9" hidden="false" customHeight="false" outlineLevel="0" collapsed="false">
      <c r="A1" s="1" t="s">
        <v>345</v>
      </c>
    </row>
    <row r="3" customFormat="false" ht="15.75" hidden="false" customHeight="false" outlineLevel="0" collapsed="false">
      <c r="A3" s="39" t="s">
        <v>291</v>
      </c>
      <c r="B3" s="40" t="s">
        <v>346</v>
      </c>
      <c r="C3" s="40"/>
      <c r="D3" s="40"/>
      <c r="E3" s="40"/>
      <c r="F3" s="41"/>
      <c r="G3" s="41"/>
      <c r="H3" s="41"/>
      <c r="I3" s="41"/>
    </row>
    <row r="4" customFormat="false" ht="15.75" hidden="false" customHeight="false" outlineLevel="0" collapsed="false">
      <c r="A4" s="39"/>
      <c r="B4" s="41" t="s">
        <v>347</v>
      </c>
      <c r="C4" s="41"/>
      <c r="D4" s="41" t="s">
        <v>348</v>
      </c>
      <c r="E4" s="41"/>
      <c r="F4" s="41"/>
      <c r="G4" s="41"/>
      <c r="H4" s="41"/>
      <c r="I4" s="41"/>
    </row>
    <row r="5" customFormat="false" ht="15.75" hidden="false" customHeight="false" outlineLevel="0" collapsed="false">
      <c r="A5" s="39"/>
      <c r="B5" s="20" t="s">
        <v>349</v>
      </c>
      <c r="C5" s="20" t="s">
        <v>350</v>
      </c>
      <c r="D5" s="20" t="s">
        <v>349</v>
      </c>
      <c r="E5" s="20" t="s">
        <v>350</v>
      </c>
    </row>
    <row r="6" customFormat="false" ht="15.75" hidden="false" customHeight="false" outlineLevel="0" collapsed="false">
      <c r="A6" s="42" t="s">
        <v>299</v>
      </c>
      <c r="B6" s="43" t="n">
        <f aca="false">0.898</f>
        <v>0.898</v>
      </c>
      <c r="C6" s="43" t="n">
        <v>0.424</v>
      </c>
      <c r="D6" s="43" t="n">
        <v>1.286</v>
      </c>
      <c r="E6" s="43" t="n">
        <v>0.286</v>
      </c>
      <c r="F6" s="44"/>
      <c r="G6" s="45"/>
      <c r="H6" s="45"/>
      <c r="I6" s="45"/>
    </row>
    <row r="7" customFormat="false" ht="15.75" hidden="false" customHeight="false" outlineLevel="0" collapsed="false">
      <c r="A7" s="42" t="s">
        <v>306</v>
      </c>
      <c r="B7" s="43" t="n">
        <f aca="false">0.46</f>
        <v>0.46</v>
      </c>
      <c r="C7" s="43" t="n">
        <v>0.666</v>
      </c>
      <c r="D7" s="43" t="n">
        <v>1.054</v>
      </c>
      <c r="E7" s="43" t="n">
        <v>0.351</v>
      </c>
      <c r="F7" s="44"/>
      <c r="G7" s="45"/>
      <c r="H7" s="45"/>
    </row>
    <row r="8" customFormat="false" ht="15.75" hidden="false" customHeight="false" outlineLevel="0" collapsed="false">
      <c r="A8" s="42" t="s">
        <v>310</v>
      </c>
      <c r="B8" s="43" t="n">
        <f aca="false">0.49</f>
        <v>0.49</v>
      </c>
      <c r="C8" s="43" t="n">
        <f aca="false">0.619</f>
        <v>0.619</v>
      </c>
      <c r="D8" s="43" t="n">
        <f aca="false">0.93</f>
        <v>0.93</v>
      </c>
      <c r="E8" s="43" t="n">
        <v>0.403</v>
      </c>
      <c r="F8" s="45"/>
      <c r="G8" s="45"/>
      <c r="H8" s="45"/>
      <c r="I8" s="45"/>
    </row>
    <row r="9" customFormat="false" ht="15.75" hidden="false" customHeight="false" outlineLevel="0" collapsed="false">
      <c r="A9" s="42"/>
    </row>
    <row r="10" customFormat="false" ht="15.75" hidden="false" customHeight="false" outlineLevel="0" collapsed="false">
      <c r="A10" s="39" t="s">
        <v>291</v>
      </c>
      <c r="B10" s="40" t="s">
        <v>351</v>
      </c>
      <c r="C10" s="40"/>
      <c r="D10" s="40"/>
      <c r="E10" s="40"/>
    </row>
    <row r="11" customFormat="false" ht="15.75" hidden="false" customHeight="false" outlineLevel="0" collapsed="false">
      <c r="A11" s="39"/>
      <c r="B11" s="41" t="s">
        <v>347</v>
      </c>
      <c r="C11" s="41"/>
      <c r="D11" s="41" t="s">
        <v>348</v>
      </c>
      <c r="E11" s="41"/>
    </row>
    <row r="12" customFormat="false" ht="15.75" hidden="false" customHeight="false" outlineLevel="0" collapsed="false">
      <c r="A12" s="39"/>
      <c r="B12" s="20" t="s">
        <v>349</v>
      </c>
      <c r="C12" s="20" t="s">
        <v>350</v>
      </c>
      <c r="D12" s="20" t="s">
        <v>349</v>
      </c>
      <c r="E12" s="20" t="s">
        <v>350</v>
      </c>
    </row>
    <row r="13" customFormat="false" ht="15.75" hidden="false" customHeight="false" outlineLevel="0" collapsed="false">
      <c r="A13" s="42" t="s">
        <v>299</v>
      </c>
      <c r="B13" s="44" t="n">
        <v>0.822</v>
      </c>
      <c r="C13" s="43" t="n">
        <v>0.455</v>
      </c>
      <c r="D13" s="43" t="n">
        <v>0.051</v>
      </c>
      <c r="E13" s="43" t="n">
        <f aca="false">0.95</f>
        <v>0.95</v>
      </c>
    </row>
    <row r="14" customFormat="false" ht="15.75" hidden="false" customHeight="false" outlineLevel="0" collapsed="false">
      <c r="A14" s="42" t="s">
        <v>306</v>
      </c>
      <c r="B14" s="44" t="n">
        <v>0.497</v>
      </c>
      <c r="C14" s="43" t="n">
        <f aca="false">0.612</f>
        <v>0.612</v>
      </c>
      <c r="D14" s="43" t="n">
        <v>0.865</v>
      </c>
      <c r="E14" s="43" t="n">
        <v>0.423</v>
      </c>
    </row>
    <row r="15" customFormat="false" ht="15.75" hidden="false" customHeight="false" outlineLevel="0" collapsed="false">
      <c r="A15" s="42" t="s">
        <v>310</v>
      </c>
      <c r="B15" s="43" t="n">
        <v>0.433</v>
      </c>
      <c r="C15" s="43" t="n">
        <v>0.654</v>
      </c>
      <c r="D15" s="43" t="n">
        <f aca="false">1.765</f>
        <v>1.765</v>
      </c>
      <c r="E15" s="43" t="n">
        <f aca="false">0.185</f>
        <v>0.185</v>
      </c>
    </row>
  </sheetData>
  <mergeCells count="11">
    <mergeCell ref="A3:A5"/>
    <mergeCell ref="B3:E3"/>
    <mergeCell ref="F3:I3"/>
    <mergeCell ref="B4:C4"/>
    <mergeCell ref="D4:E4"/>
    <mergeCell ref="F4:G4"/>
    <mergeCell ref="H4:I4"/>
    <mergeCell ref="A10:A12"/>
    <mergeCell ref="B10:E10"/>
    <mergeCell ref="B11:C11"/>
    <mergeCell ref="D11:E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46" width="19.33"/>
    <col collapsed="false" customWidth="true" hidden="false" outlineLevel="0" max="4" min="4" style="0" width="9.33"/>
    <col collapsed="false" customWidth="true" hidden="false" outlineLevel="0" max="5" min="5" style="0" width="31.5"/>
    <col collapsed="false" customWidth="true" hidden="false" outlineLevel="0" max="9" min="9" style="0" width="31.5"/>
    <col collapsed="false" customWidth="true" hidden="false" outlineLevel="0" max="10" min="10" style="47" width="9.66"/>
  </cols>
  <sheetData>
    <row r="1" customFormat="false" ht="17.9" hidden="false" customHeight="false" outlineLevel="0" collapsed="false">
      <c r="A1" s="1" t="s">
        <v>352</v>
      </c>
    </row>
    <row r="3" customFormat="false" ht="15.75" hidden="false" customHeight="false" outlineLevel="0" collapsed="false">
      <c r="A3" s="32" t="s">
        <v>353</v>
      </c>
      <c r="B3" s="48" t="s">
        <v>354</v>
      </c>
      <c r="C3" s="32" t="s">
        <v>355</v>
      </c>
      <c r="D3" s="32" t="s">
        <v>356</v>
      </c>
    </row>
    <row r="4" customFormat="false" ht="15.75" hidden="false" customHeight="false" outlineLevel="0" collapsed="false">
      <c r="A4" s="32" t="s">
        <v>357</v>
      </c>
      <c r="B4" s="48" t="n">
        <v>1.660101671</v>
      </c>
      <c r="C4" s="48" t="n">
        <v>16.292</v>
      </c>
      <c r="D4" s="48" t="n">
        <v>0.000999</v>
      </c>
    </row>
    <row r="5" customFormat="false" ht="15.75" hidden="false" customHeight="false" outlineLevel="0" collapsed="false">
      <c r="A5" s="32" t="s">
        <v>358</v>
      </c>
      <c r="B5" s="48" t="n">
        <v>-0.094611281</v>
      </c>
      <c r="C5" s="48" t="n">
        <v>0</v>
      </c>
      <c r="D5" s="48" t="n">
        <v>0.864136</v>
      </c>
    </row>
    <row r="6" customFormat="false" ht="15.75" hidden="false" customHeight="false" outlineLevel="0" collapsed="false">
      <c r="A6" s="32" t="s">
        <v>359</v>
      </c>
      <c r="B6" s="48" t="n">
        <v>-0.107498758</v>
      </c>
      <c r="C6" s="48" t="n">
        <v>0</v>
      </c>
      <c r="D6" s="48" t="n">
        <v>0.814186</v>
      </c>
    </row>
    <row r="7" customFormat="false" ht="15.75" hidden="false" customHeight="false" outlineLevel="0" collapsed="false">
      <c r="A7" s="32" t="s">
        <v>360</v>
      </c>
      <c r="B7" s="48" t="n">
        <v>0.052139894</v>
      </c>
      <c r="C7" s="48" t="n">
        <v>0.327</v>
      </c>
      <c r="D7" s="48" t="n">
        <v>0.37962</v>
      </c>
    </row>
    <row r="8" customFormat="false" ht="15.75" hidden="false" customHeight="false" outlineLevel="0" collapsed="false">
      <c r="A8" s="32" t="s">
        <v>361</v>
      </c>
      <c r="B8" s="48" t="n">
        <v>-0.006838931</v>
      </c>
      <c r="C8" s="48" t="n">
        <v>0</v>
      </c>
      <c r="D8" s="48" t="n">
        <v>0.988012</v>
      </c>
    </row>
    <row r="9" customFormat="false" ht="15.75" hidden="false" customHeight="false" outlineLevel="0" collapsed="false">
      <c r="A9" s="32" t="s">
        <v>362</v>
      </c>
      <c r="B9" s="48" t="n">
        <v>0.045200315</v>
      </c>
      <c r="C9" s="48" t="n">
        <v>3.183</v>
      </c>
      <c r="D9" s="48" t="n">
        <v>0.441558</v>
      </c>
    </row>
    <row r="10" customFormat="false" ht="15.75" hidden="false" customHeight="false" outlineLevel="0" collapsed="false">
      <c r="A10" s="32" t="s">
        <v>363</v>
      </c>
      <c r="B10" s="48" t="n">
        <v>-0.063057722</v>
      </c>
      <c r="C10" s="48" t="n">
        <v>4.692</v>
      </c>
      <c r="D10" s="48" t="n">
        <v>0.432567</v>
      </c>
    </row>
    <row r="11" customFormat="false" ht="15.75" hidden="false" customHeight="false" outlineLevel="0" collapsed="false">
      <c r="A11" s="32" t="s">
        <v>364</v>
      </c>
      <c r="B11" s="48" t="n">
        <v>-0.160787887</v>
      </c>
      <c r="C11" s="48" t="n">
        <v>13.316</v>
      </c>
      <c r="D11" s="48" t="n">
        <v>0.110889</v>
      </c>
    </row>
    <row r="12" customFormat="false" ht="15.75" hidden="false" customHeight="false" outlineLevel="0" collapsed="false">
      <c r="A12" s="32" t="s">
        <v>365</v>
      </c>
      <c r="B12" s="48" t="n">
        <v>0.140398113</v>
      </c>
      <c r="C12" s="48" t="n">
        <v>11.72</v>
      </c>
      <c r="D12" s="48" t="n">
        <v>0.242757</v>
      </c>
    </row>
    <row r="13" customFormat="false" ht="15.75" hidden="false" customHeight="false" outlineLevel="0" collapsed="false">
      <c r="A13" s="32" t="s">
        <v>366</v>
      </c>
      <c r="B13" s="48" t="n">
        <v>0.068225031</v>
      </c>
      <c r="C13" s="48" t="n">
        <v>5.802</v>
      </c>
      <c r="D13" s="48" t="n">
        <v>0.461538</v>
      </c>
    </row>
    <row r="14" customFormat="false" ht="15.75" hidden="false" customHeight="false" outlineLevel="0" collapsed="false">
      <c r="A14" s="32" t="s">
        <v>367</v>
      </c>
      <c r="B14" s="48" t="n">
        <v>0.01664817</v>
      </c>
      <c r="C14" s="48" t="n">
        <v>1.585</v>
      </c>
      <c r="D14" s="48" t="n">
        <v>0.756244</v>
      </c>
    </row>
    <row r="15" customFormat="false" ht="15.75" hidden="false" customHeight="false" outlineLevel="0" collapsed="false">
      <c r="A15" s="32" t="s">
        <v>368</v>
      </c>
      <c r="B15" s="48" t="n">
        <v>0.123599117</v>
      </c>
      <c r="C15" s="48" t="n">
        <v>8.922</v>
      </c>
      <c r="D15" s="48" t="n">
        <v>0.491508</v>
      </c>
    </row>
    <row r="16" customFormat="false" ht="15.75" hidden="false" customHeight="false" outlineLevel="0" collapsed="false">
      <c r="A16" s="32" t="s">
        <v>369</v>
      </c>
      <c r="B16" s="48" t="n">
        <v>0.265759723</v>
      </c>
      <c r="C16" s="48" t="n">
        <v>17.249</v>
      </c>
      <c r="D16" s="48" t="n">
        <v>0.194805</v>
      </c>
    </row>
    <row r="17" customFormat="false" ht="15.75" hidden="false" customHeight="false" outlineLevel="0" collapsed="false">
      <c r="A17" s="32" t="s">
        <v>370</v>
      </c>
      <c r="B17" s="48" t="n">
        <v>-0.018890896</v>
      </c>
      <c r="C17" s="48" t="n">
        <v>1.561</v>
      </c>
      <c r="D17" s="48" t="n">
        <v>0.832168</v>
      </c>
    </row>
    <row r="18" customFormat="false" ht="15.75" hidden="false" customHeight="false" outlineLevel="0" collapsed="false">
      <c r="A18" s="32" t="s">
        <v>371</v>
      </c>
      <c r="B18" s="48" t="n">
        <v>-0.093392779</v>
      </c>
      <c r="C18" s="48" t="n">
        <v>7.946</v>
      </c>
      <c r="D18" s="48" t="n">
        <v>0.573427</v>
      </c>
    </row>
    <row r="19" customFormat="false" ht="15.75" hidden="false" customHeight="false" outlineLevel="0" collapsed="false">
      <c r="A19" s="32" t="s">
        <v>372</v>
      </c>
      <c r="B19" s="48" t="n">
        <v>-0.201567571</v>
      </c>
      <c r="C19" s="48" t="n">
        <v>18.307</v>
      </c>
      <c r="D19" s="48" t="n">
        <v>0.272727</v>
      </c>
    </row>
    <row r="20" customFormat="false" ht="15.75" hidden="false" customHeight="false" outlineLevel="0" collapsed="false">
      <c r="A20" s="32" t="s">
        <v>373</v>
      </c>
      <c r="B20" s="48" t="n">
        <v>-0.038231699</v>
      </c>
      <c r="C20" s="48" t="n">
        <v>2.704</v>
      </c>
      <c r="D20" s="48" t="n">
        <v>0.753247</v>
      </c>
    </row>
    <row r="21" customFormat="false" ht="15.75" hidden="false" customHeight="false" outlineLevel="0" collapsed="false">
      <c r="A21" s="32" t="s">
        <v>374</v>
      </c>
      <c r="B21" s="48" t="n">
        <v>-0.00901645</v>
      </c>
      <c r="C21" s="48" t="n">
        <v>0.533</v>
      </c>
      <c r="D21" s="48" t="n">
        <v>0.854146</v>
      </c>
    </row>
    <row r="22" customFormat="false" ht="15.75" hidden="false" customHeight="false" outlineLevel="0" collapsed="false">
      <c r="A22" s="32" t="s">
        <v>375</v>
      </c>
      <c r="B22" s="48" t="n">
        <v>-0.001663369</v>
      </c>
      <c r="C22" s="48" t="n">
        <v>0.118</v>
      </c>
      <c r="D22" s="48" t="n">
        <v>0.89011</v>
      </c>
    </row>
    <row r="23" customFormat="false" ht="15.75" hidden="false" customHeight="false" outlineLevel="0" collapsed="false">
      <c r="A23" s="32" t="s">
        <v>376</v>
      </c>
      <c r="B23" s="48" t="n">
        <v>-0.030869779</v>
      </c>
      <c r="C23" s="48" t="n">
        <v>2.341</v>
      </c>
      <c r="D23" s="48" t="n">
        <v>0.792208</v>
      </c>
    </row>
    <row r="24" customFormat="false" ht="15.75" hidden="false" customHeight="false" outlineLevel="0" collapsed="false">
      <c r="A24" s="32" t="s">
        <v>377</v>
      </c>
      <c r="B24" s="48" t="n">
        <v>0.008720056</v>
      </c>
      <c r="C24" s="48" t="n">
        <v>0.614</v>
      </c>
      <c r="D24" s="48" t="n">
        <v>0.861139</v>
      </c>
    </row>
    <row r="25" customFormat="false" ht="15.75" hidden="false" customHeight="false" outlineLevel="0" collapsed="false">
      <c r="A25" s="32" t="s">
        <v>378</v>
      </c>
      <c r="B25" s="48" t="n">
        <v>0.102990415</v>
      </c>
      <c r="C25" s="48" t="n">
        <v>7.39</v>
      </c>
      <c r="D25" s="48" t="n">
        <v>0.415584</v>
      </c>
    </row>
    <row r="26" customFormat="false" ht="15.75" hidden="false" customHeight="false" outlineLevel="0" collapsed="false">
      <c r="A26" s="1" t="s">
        <v>379</v>
      </c>
      <c r="B26" s="49" t="n">
        <v>0.287799836</v>
      </c>
      <c r="C26" s="49" t="n">
        <v>18.056</v>
      </c>
      <c r="D26" s="49" t="n">
        <v>0.046953</v>
      </c>
    </row>
    <row r="27" customFormat="false" ht="15.75" hidden="false" customHeight="false" outlineLevel="0" collapsed="false">
      <c r="A27" s="32" t="s">
        <v>380</v>
      </c>
      <c r="B27" s="48" t="n">
        <v>-0.254593371</v>
      </c>
      <c r="C27" s="48" t="n">
        <v>22.096</v>
      </c>
      <c r="D27" s="48" t="n">
        <v>0.147852</v>
      </c>
    </row>
    <row r="28" customFormat="false" ht="15.75" hidden="false" customHeight="false" outlineLevel="0" collapsed="false">
      <c r="A28" s="32" t="s">
        <v>381</v>
      </c>
      <c r="B28" s="48" t="n">
        <v>-0.13199716</v>
      </c>
      <c r="C28" s="48" t="n">
        <v>11.102</v>
      </c>
      <c r="D28" s="48" t="n">
        <v>0.352647</v>
      </c>
    </row>
    <row r="29" customFormat="false" ht="15.75" hidden="false" customHeight="false" outlineLevel="0" collapsed="false">
      <c r="A29" s="32" t="s">
        <v>382</v>
      </c>
      <c r="B29" s="48" t="n">
        <v>-0.027112962</v>
      </c>
      <c r="C29" s="48" t="n">
        <v>2.524</v>
      </c>
      <c r="D29" s="48" t="n">
        <v>0.75025</v>
      </c>
    </row>
    <row r="30" customFormat="false" ht="15.75" hidden="false" customHeight="false" outlineLevel="0" collapsed="false">
      <c r="A30" s="32" t="s">
        <v>383</v>
      </c>
      <c r="B30" s="48" t="n">
        <v>-0.026728153</v>
      </c>
      <c r="C30" s="48" t="n">
        <v>2.062</v>
      </c>
      <c r="D30" s="48" t="n">
        <v>0.72028</v>
      </c>
    </row>
    <row r="31" customFormat="false" ht="15.75" hidden="false" customHeight="false" outlineLevel="0" collapsed="false">
      <c r="A31" s="32" t="s">
        <v>384</v>
      </c>
      <c r="B31" s="48" t="n">
        <v>0.004262616</v>
      </c>
      <c r="C31" s="48" t="n">
        <v>0.375</v>
      </c>
      <c r="D31" s="48" t="n">
        <v>0.847153</v>
      </c>
    </row>
    <row r="32" customFormat="false" ht="15.75" hidden="false" customHeight="false" outlineLevel="0" collapsed="false">
      <c r="A32" s="32" t="s">
        <v>385</v>
      </c>
      <c r="B32" s="48" t="n">
        <v>-0.055522461</v>
      </c>
      <c r="C32" s="48" t="n">
        <v>5.091</v>
      </c>
      <c r="D32" s="48" t="n">
        <v>0.56044</v>
      </c>
    </row>
    <row r="33" customFormat="false" ht="15.75" hidden="false" customHeight="false" outlineLevel="0" collapsed="false">
      <c r="A33" s="32" t="s">
        <v>386</v>
      </c>
      <c r="B33" s="48" t="n">
        <v>-0.030208564</v>
      </c>
      <c r="C33" s="48" t="n">
        <v>2.708</v>
      </c>
      <c r="D33" s="48" t="n">
        <v>0.685315</v>
      </c>
    </row>
    <row r="34" customFormat="false" ht="15.75" hidden="false" customHeight="false" outlineLevel="0" collapsed="false">
      <c r="A34" s="32" t="s">
        <v>387</v>
      </c>
      <c r="B34" s="48" t="n">
        <v>0.041853511</v>
      </c>
      <c r="C34" s="48" t="n">
        <v>4.452</v>
      </c>
      <c r="D34" s="48" t="n">
        <v>0.564436</v>
      </c>
    </row>
    <row r="36" customFormat="false" ht="15.75" hidden="false" customHeight="false" outlineLevel="0" collapsed="false">
      <c r="J36" s="50"/>
    </row>
    <row r="37" customFormat="false" ht="15.75" hidden="false" customHeight="false" outlineLevel="0" collapsed="false">
      <c r="A37" s="1"/>
      <c r="B37" s="48"/>
      <c r="C37" s="1"/>
      <c r="D37" s="1"/>
    </row>
    <row r="38" customFormat="false" ht="15.75" hidden="false" customHeight="false" outlineLevel="0" collapsed="false">
      <c r="A38" s="1"/>
      <c r="B38" s="48"/>
      <c r="C38" s="1"/>
      <c r="D38" s="1"/>
    </row>
    <row r="39" customFormat="false" ht="15.75" hidden="false" customHeight="false" outlineLevel="0" collapsed="false">
      <c r="A39" s="1"/>
      <c r="B39" s="48"/>
      <c r="C39" s="1"/>
      <c r="D39" s="1"/>
    </row>
    <row r="40" customFormat="false" ht="15.75" hidden="false" customHeight="false" outlineLevel="0" collapsed="false">
      <c r="A40" s="1"/>
      <c r="B40" s="48"/>
      <c r="C40" s="1"/>
      <c r="D40" s="1"/>
    </row>
    <row r="41" customFormat="false" ht="15.75" hidden="false" customHeight="false" outlineLevel="0" collapsed="false">
      <c r="A41" s="1"/>
      <c r="B41" s="48"/>
      <c r="C41" s="1"/>
      <c r="D41" s="1"/>
    </row>
    <row r="42" customFormat="false" ht="15.75" hidden="false" customHeight="false" outlineLevel="0" collapsed="false">
      <c r="A42" s="1"/>
      <c r="B42" s="48"/>
      <c r="C42" s="1"/>
      <c r="D42" s="1"/>
    </row>
    <row r="43" customFormat="false" ht="15.75" hidden="false" customHeight="false" outlineLevel="0" collapsed="false">
      <c r="A43" s="1"/>
      <c r="B43" s="48"/>
      <c r="C43" s="1"/>
      <c r="D43" s="1"/>
    </row>
    <row r="44" customFormat="false" ht="15.75" hidden="false" customHeight="false" outlineLevel="0" collapsed="false">
      <c r="A44" s="1"/>
      <c r="B44" s="48"/>
      <c r="C44" s="1"/>
      <c r="D44" s="1"/>
    </row>
    <row r="45" customFormat="false" ht="15.75" hidden="false" customHeight="false" outlineLevel="0" collapsed="false">
      <c r="A45" s="1"/>
      <c r="B45" s="48"/>
      <c r="C45" s="1"/>
      <c r="D45" s="1"/>
    </row>
    <row r="46" customFormat="false" ht="15.75" hidden="false" customHeight="false" outlineLevel="0" collapsed="false">
      <c r="A46" s="1"/>
      <c r="B46" s="48"/>
      <c r="C46" s="1"/>
      <c r="D46" s="1"/>
    </row>
    <row r="47" customFormat="false" ht="15.75" hidden="false" customHeight="false" outlineLevel="0" collapsed="false">
      <c r="A47" s="1"/>
      <c r="B47" s="48"/>
      <c r="C47" s="1"/>
      <c r="D47" s="1"/>
    </row>
    <row r="48" customFormat="false" ht="15.75" hidden="false" customHeight="false" outlineLevel="0" collapsed="false">
      <c r="A48" s="1"/>
      <c r="B48" s="48"/>
      <c r="C48" s="1"/>
      <c r="D48" s="1"/>
    </row>
    <row r="49" customFormat="false" ht="15.75" hidden="false" customHeight="false" outlineLevel="0" collapsed="false">
      <c r="A49" s="1"/>
      <c r="B49" s="48"/>
      <c r="C49" s="1"/>
      <c r="D49" s="1"/>
    </row>
    <row r="50" customFormat="false" ht="15.75" hidden="false" customHeight="false" outlineLevel="0" collapsed="false">
      <c r="A50" s="1"/>
      <c r="B50" s="48"/>
      <c r="C50" s="1"/>
      <c r="D50" s="1"/>
    </row>
    <row r="51" customFormat="false" ht="15.75" hidden="false" customHeight="false" outlineLevel="0" collapsed="false">
      <c r="A51" s="1"/>
      <c r="B51" s="48"/>
      <c r="C51" s="1"/>
      <c r="D51" s="1"/>
    </row>
    <row r="52" customFormat="false" ht="15.75" hidden="false" customHeight="false" outlineLevel="0" collapsed="false">
      <c r="A52" s="1"/>
      <c r="B52" s="48"/>
      <c r="C52" s="1"/>
      <c r="D52" s="1"/>
    </row>
    <row r="53" customFormat="false" ht="15.75" hidden="false" customHeight="false" outlineLevel="0" collapsed="false">
      <c r="A53" s="1"/>
      <c r="B53" s="48"/>
      <c r="C53" s="1"/>
      <c r="D53" s="1"/>
    </row>
    <row r="54" customFormat="false" ht="15.75" hidden="false" customHeight="false" outlineLevel="0" collapsed="false">
      <c r="A54" s="1"/>
      <c r="B54" s="48"/>
      <c r="C54" s="1"/>
      <c r="D54" s="1"/>
    </row>
    <row r="55" customFormat="false" ht="15.75" hidden="false" customHeight="false" outlineLevel="0" collapsed="false">
      <c r="A55" s="1"/>
      <c r="B55" s="48"/>
      <c r="C55" s="1"/>
      <c r="D55" s="1"/>
    </row>
    <row r="56" customFormat="false" ht="15.75" hidden="false" customHeight="false" outlineLevel="0" collapsed="false">
      <c r="A56" s="1"/>
      <c r="B56" s="48"/>
      <c r="C56" s="1"/>
      <c r="D56" s="1"/>
    </row>
    <row r="57" customFormat="false" ht="15.75" hidden="false" customHeight="false" outlineLevel="0" collapsed="false">
      <c r="A57" s="1"/>
      <c r="B57" s="48"/>
      <c r="C57" s="1"/>
      <c r="D5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2023-02-10T21:48:47Z</dcterms:created>
  <dc:creator>Sandara Brasil</dc:creator>
  <dc:description/>
  <dc:language>en-US</dc:language>
  <cp:lastModifiedBy>Sandara Brasil</cp:lastModifiedBy>
  <dcterms:modified xsi:type="dcterms:W3CDTF">2023-08-31T22:03:26Z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